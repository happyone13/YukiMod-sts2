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TA\GODOT\MyMod\YukiMod\docs\"/>
    </mc:Choice>
  </mc:AlternateContent>
  <xr:revisionPtr revIDLastSave="0" documentId="8_{10415BA0-4170-467D-A156-6FB6B30EAB74}" xr6:coauthVersionLast="47" xr6:coauthVersionMax="47" xr10:uidLastSave="{00000000-0000-0000-0000-000000000000}"/>
  <bookViews>
    <workbookView xWindow="-103" yWindow="-103" windowWidth="22149" windowHeight="13920" tabRatio="615" xr2:uid="{00000000-000D-0000-FFFF-FFFF00000000}"/>
  </bookViews>
  <sheets>
    <sheet name="卡牌表" sheetId="1" r:id="rId1"/>
    <sheet name="流派统计" sheetId="2" r:id="rId2"/>
    <sheet name="稀有度统计" sheetId="3" r:id="rId3"/>
    <sheet name="种类统计" sheetId="4" r:id="rId4"/>
    <sheet name="关键词，能力与遗物" sheetId="5" r:id="rId5"/>
    <sheet name="说明" sheetId="6" r:id="rId6"/>
    <sheet name="_options" sheetId="7" state="hidden" r:id="rId7"/>
  </sheets>
  <externalReferences>
    <externalReference r:id="rId8"/>
  </externalReferences>
  <definedNames>
    <definedName name="_xlnm._FilterDatabase" localSheetId="4" hidden="1">'关键词，能力与遗物'!$A$1:$B$8</definedName>
    <definedName name="_xlnm._FilterDatabase" localSheetId="0" hidden="1">卡牌表!$A$1:$F$70</definedName>
    <definedName name="_xlnm._FilterDatabase" localSheetId="1" hidden="1">流派统计!$A$1:$B$5</definedName>
    <definedName name="_xlnm._FilterDatabase" localSheetId="5" hidden="1">说明!$A$1:$B$6</definedName>
    <definedName name="_xlnm._FilterDatabase" localSheetId="2" hidden="1">稀有度统计!$A$1:$B$8</definedName>
    <definedName name="_xlnm._FilterDatabase" localSheetId="3" hidden="1">种类统计!$A$1:$B$4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B8" i="3"/>
  <c r="B7" i="3"/>
  <c r="B6" i="3"/>
  <c r="B5" i="3"/>
  <c r="B4" i="3"/>
  <c r="B3" i="3"/>
  <c r="B2" i="3"/>
  <c r="B5" i="2"/>
  <c r="B4" i="2"/>
  <c r="B3" i="2"/>
  <c r="B2" i="2"/>
</calcChain>
</file>

<file path=xl/sharedStrings.xml><?xml version="1.0" encoding="utf-8"?>
<sst xmlns="http://schemas.openxmlformats.org/spreadsheetml/2006/main" count="476" uniqueCount="175">
  <si>
    <t>名称</t>
  </si>
  <si>
    <t>费用</t>
  </si>
  <si>
    <t>稀有度</t>
  </si>
  <si>
    <t>种类</t>
  </si>
  <si>
    <t>效果</t>
  </si>
  <si>
    <t>流派</t>
  </si>
  <si>
    <t>备注</t>
  </si>
  <si>
    <t>评分</t>
  </si>
  <si>
    <t>拔刀</t>
  </si>
  <si>
    <t>初始</t>
  </si>
  <si>
    <t>攻击</t>
  </si>
  <si>
    <t>造成4/6点伤害；黑云：额外攻击一次。</t>
  </si>
  <si>
    <t>黑云</t>
  </si>
  <si>
    <t>通常</t>
  </si>
  <si>
    <t>技能</t>
  </si>
  <si>
    <t>获得9/12点格挡；黑云：抽2张牌。</t>
  </si>
  <si>
    <t>罕见</t>
  </si>
  <si>
    <t>抽1张牌，这张牌下次使用费用减少1；黑云：保留黑云姿态。</t>
  </si>
  <si>
    <t>把一张黑云牌从抽牌堆或弃牌堆移至手牌；黑云：保留黑云姿态。</t>
  </si>
  <si>
    <t>稀有</t>
  </si>
  <si>
    <t>能力</t>
  </si>
  <si>
    <t>回合开始时进入黑云姿态（固有）。</t>
  </si>
  <si>
    <t>回合开始时若在黑云姿态则抽一张黑云牌。(固有)</t>
  </si>
  <si>
    <t>黑云姿态下获得3/4力量。</t>
  </si>
  <si>
    <t>黑云奥义：黑雾</t>
  </si>
  <si>
    <t>造成5/7点伤害；黑云：每有一张技能牌额外攻击一次。</t>
  </si>
  <si>
    <t>黑云奥义：灭</t>
  </si>
  <si>
    <t>造成9/12点伤害；黑云：额外攻击一次。</t>
  </si>
  <si>
    <t>黑云奥义：残</t>
  </si>
  <si>
    <t>抽一张牌；黑云：保留黑云姿态。</t>
  </si>
  <si>
    <t>黑云心法</t>
  </si>
  <si>
    <t>一回合内保留黑云姿态；黑云：本回合内获得2力量。</t>
  </si>
  <si>
    <t>出鞘</t>
  </si>
  <si>
    <t>进入黑云姿态，下次退出黑云姿态时获得一张[纳刀]。</t>
  </si>
  <si>
    <t>获得8/11格挡，下回合开始时进入黑云姿态并获得1费</t>
  </si>
  <si>
    <t>花</t>
  </si>
  <si>
    <t>造成6点伤害，获得花，黑云：额外攻击一次</t>
  </si>
  <si>
    <t>压制准备</t>
  </si>
  <si>
    <t>抽一张（打击以外的）攻击牌；灵感：优先抽取灵感卡。</t>
  </si>
  <si>
    <t>灵感</t>
  </si>
  <si>
    <t>造成5点伤害，抽1/2张牌；灵感：额外造成5点伤害。</t>
  </si>
  <si>
    <t>迷惑一击</t>
  </si>
  <si>
    <t>造成4点伤害2次；随机（选择）一张牌触发灵感。</t>
  </si>
  <si>
    <t>造成4点伤害2/3次；抽一张有灵感的牌。</t>
  </si>
  <si>
    <t>偷袭斩</t>
  </si>
  <si>
    <t>对所有敌人造成15点伤害；灵感：减少1/2费。</t>
  </si>
  <si>
    <t>破冰斩</t>
  </si>
  <si>
    <t>对所有敌人造成8/10点伤害；灵感：额外攻击一次。</t>
  </si>
  <si>
    <t>获得7/10点格挡，抽1；灵感：抽1。</t>
  </si>
  <si>
    <t>造成8/11伤害，施加1虚弱；灵感：施加2虚弱。</t>
  </si>
  <si>
    <t>触发灵感时对所有敌人造成4/6点伤害。</t>
  </si>
  <si>
    <t>打击获得灵感:-1费（固有）。</t>
  </si>
  <si>
    <t>回合开始时随机触发1/2张手中的灵感。</t>
  </si>
  <si>
    <t>冰点之刃</t>
  </si>
  <si>
    <t>触发灵感时对随机敌人造成4/6伤害。</t>
  </si>
  <si>
    <t>高速斩击</t>
  </si>
  <si>
    <t>对所有敌人造成15点伤害；灵感：抽2张牌。</t>
  </si>
  <si>
    <t>触发手牌中灵感效果；消耗（不消耗）。</t>
  </si>
  <si>
    <t>把手牌放到抽牌堆顶部，并抽同等数量的卡；消耗（不消耗）。</t>
  </si>
  <si>
    <t>预见</t>
  </si>
  <si>
    <t>打7/9，预见2/3，抽1。</t>
  </si>
  <si>
    <t>7/9甲，预见3/5。</t>
  </si>
  <si>
    <t>回合开始时预见3/4。</t>
  </si>
  <si>
    <t>每当你预见时获得3/4甲。</t>
  </si>
  <si>
    <t>预见3/4，拔刀1。</t>
  </si>
  <si>
    <t>预见3，抽2张牌。</t>
  </si>
  <si>
    <t>造成2点伤害3次；灵感：额外攻击2次。</t>
  </si>
  <si>
    <t>抽1张牌并打出；消耗（升级后不消耗）；灵感:-1费。</t>
  </si>
  <si>
    <t>使用灵感牌获得2/3格挡。</t>
  </si>
  <si>
    <t>雪</t>
  </si>
  <si>
    <t>造成6点伤害，获得雪，灵感:抽一张牌</t>
  </si>
  <si>
    <t>零度</t>
  </si>
  <si>
    <t>当释放33次灵感牌，获得一张居合</t>
  </si>
  <si>
    <t>获得5格挡，抽1张牌；灵感：进入黑云姿态。</t>
  </si>
  <si>
    <t>抽1（保留）。</t>
  </si>
  <si>
    <t>其他</t>
  </si>
  <si>
    <t>获得8/11格挡，下两个回合开始时抽1。</t>
  </si>
  <si>
    <t>造成7/9点伤害，本回合每抽1张牌额外攻击一次（目前增加0）。</t>
  </si>
  <si>
    <t>造成5点伤害3/4次，每次抽到时费用-1。</t>
  </si>
  <si>
    <t>获得7/10格挡，从弃牌堆把一张牌放在抽牌堆顶部。</t>
  </si>
  <si>
    <t>天际斩击</t>
  </si>
  <si>
    <t>先古</t>
  </si>
  <si>
    <t>回合开始时，将手中所有牌放到抽牌堆顶部并抽出。（固有）</t>
  </si>
  <si>
    <t>神丶压制准备</t>
  </si>
  <si>
    <t>抽满手牌；消耗。</t>
  </si>
  <si>
    <t>每回合第一次抽满手牌时获得1费。</t>
  </si>
  <si>
    <t>每花费4/3费抽1张牌。</t>
  </si>
  <si>
    <t>获得8/11甲，下回合开始时抽2。</t>
  </si>
  <si>
    <t>释放攻击牌后获得架势。</t>
  </si>
  <si>
    <t>获得5甲，抽2张牌，先一张手牌放回抽牌堆底部。</t>
  </si>
  <si>
    <t>造成6点伤害，抽一张牌，选一张手牌放到抽牌库顶端。</t>
  </si>
  <si>
    <t>获得1费，抽2张牌，本回合不能再抽牌。</t>
  </si>
  <si>
    <t>造成6点伤害，从抽牌堆把一张牌放入手中。</t>
  </si>
  <si>
    <t>获得2/3费，本回合不能抽牌。</t>
  </si>
  <si>
    <t>消耗1张手牌，从抽牌堆中选1张牌加入手中；消耗（不消耗）。</t>
  </si>
  <si>
    <t>黄昏的羁绊</t>
  </si>
  <si>
    <t>固有，不能额外获得费用；回合开始时随机两张卡下次使用前费用减少1。</t>
  </si>
  <si>
    <t>斩钢闪</t>
  </si>
  <si>
    <t>造成9/12点伤害，连续3回合打出斩钢闪，将一张居合加入手牌</t>
  </si>
  <si>
    <t xml:space="preserve">一击必杀！居合抽卡 </t>
  </si>
  <si>
    <t>抽1张牌，如果这张卡是一击必杀！居合抽卡，则获得一张居合</t>
  </si>
  <si>
    <t>造成6/9点伤害 你的下一张攻击牌减少1费</t>
  </si>
  <si>
    <t>彼岸花</t>
  </si>
  <si>
    <t>造成6/9点伤害，下两回合开始时造成6/9点伤害</t>
  </si>
  <si>
    <t>燕回反</t>
  </si>
  <si>
    <t>释放你上一个释放的攻击，消耗(升级后不消耗)</t>
  </si>
  <si>
    <t>踏前斩</t>
  </si>
  <si>
    <t>造成2/4点伤害，对这回合没被踏前斩命中的敌人释放时返回手牌</t>
  </si>
  <si>
    <t>怒涛斩</t>
  </si>
  <si>
    <t>一回合内打出3张攻击牌时抽一张牌</t>
  </si>
  <si>
    <t>招架</t>
  </si>
  <si>
    <t>获得8/11点防御，如果刚好抵挡全部伤害，下回合开始时获得一张居合</t>
  </si>
  <si>
    <t>前提是有敌人攻击</t>
  </si>
  <si>
    <t>天刀形态</t>
  </si>
  <si>
    <t>每回合打出的第一张攻击额外打次一次</t>
  </si>
  <si>
    <t>起手式</t>
  </si>
  <si>
    <t>这回合你每打出1张技能牌 下回合内获得1点力量</t>
  </si>
  <si>
    <t>荣誉</t>
  </si>
  <si>
    <t>造成9/12点伤害，如果击杀目标则获得一张居合</t>
  </si>
  <si>
    <t>月影</t>
  </si>
  <si>
    <t>回合结束时手中月影伤害增加5。</t>
  </si>
  <si>
    <t>凝聚1，手中月影-1费；消耗。</t>
  </si>
  <si>
    <t>凝聚1，月影伤害增加5点。</t>
  </si>
  <si>
    <t>攻击命中时月影伤害+1。</t>
  </si>
  <si>
    <t>影月</t>
  </si>
  <si>
    <t>造成5点伤害，这张卡被视为月影；保留；消耗。</t>
  </si>
  <si>
    <t>造成6点伤害，本回合对其造成伤害为月影增加3点伤害。</t>
  </si>
  <si>
    <t>下次打出月影时，生成一张相同的复制。</t>
  </si>
  <si>
    <t>回合开始时如果没有月影则凝聚1。</t>
  </si>
  <si>
    <t>月影（Token）</t>
  </si>
  <si>
    <t>Token</t>
  </si>
  <si>
    <t>造成5点伤害；其他攻击命中时伤害+1（当前造成x点伤害）；保留；消耗。</t>
  </si>
  <si>
    <t>月</t>
  </si>
  <si>
    <t>造成6点伤害，获得月，月影获得2点伤害</t>
  </si>
  <si>
    <t>残月</t>
  </si>
  <si>
    <t>当释放月影的伤害超过99时获得一张居合</t>
  </si>
  <si>
    <t>黑云姿态下使用卡牌，月影伤害+1。</t>
  </si>
  <si>
    <t>月影获得；黑云：伤害增加50%。</t>
  </si>
  <si>
    <t>灵感触发时月影伤害+1。</t>
  </si>
  <si>
    <t>造成8/11点伤害，下回合获得1/2费</t>
  </si>
  <si>
    <t>纳刀</t>
  </si>
  <si>
    <t>造成5点伤害，本回合每释放一张攻击牌额外攻击一次；手里没有攻击牌时费用-1；消耗。</t>
  </si>
  <si>
    <t>居合</t>
  </si>
  <si>
    <t>对所有敌人造成33点+10%当前生命值的伤害伤害，在回合结束时造成33+10%已损失生命值的伤害，消耗</t>
  </si>
  <si>
    <t>数量</t>
  </si>
  <si>
    <t>未注明</t>
  </si>
  <si>
    <t>项目</t>
  </si>
  <si>
    <t>内容</t>
  </si>
  <si>
    <t>回合开始以外、抽卡以外的方式把卡牌加入手中，会解锁额外效果。</t>
  </si>
  <si>
    <t>当你处于黑云姿态时触发卡的额外效果，否则进入黑云姿态。</t>
  </si>
  <si>
    <t>黑云姿态</t>
  </si>
  <si>
    <t>你的牌可以触发黑云效果，使用攻击牌以外的卡会退出黑云姿态。</t>
  </si>
  <si>
    <t>凝聚</t>
  </si>
  <si>
    <t>手中的月影费用+1，获得重放1；如果手中没有月影，获得一张月影。</t>
  </si>
  <si>
    <t>0费，造成5点伤害，其他攻击命中时伤害+1。（当前造成x点伤害）保留。</t>
  </si>
  <si>
    <t>观察牌组顶部x张卡牌，选择任意数量丢弃。</t>
  </si>
  <si>
    <t>初始遗物</t>
  </si>
  <si>
    <t>战斗开始时凝聚1。</t>
  </si>
  <si>
    <t>你的月和花获得灵感：抽1张牌，当你同时拥有雪月花时移除3个能力将一张居合加入手牌</t>
  </si>
  <si>
    <t>不可叠加</t>
  </si>
  <si>
    <t>你的雪和花会为月影增加2点伤害，当你同时拥有雪月花时移除3个能力将一张居合加入手牌</t>
  </si>
  <si>
    <t>你的雪和月获得黑云：额外攻击一次，当你同时拥有雪月花时移除3个能力将一张居合加入手牌</t>
  </si>
  <si>
    <t>说明</t>
  </si>
  <si>
    <t>统计口径里，`预见` 计入 `灵感`。</t>
  </si>
  <si>
    <t>一张卡可以同时属于多个流派，所以下面流派统计会重复计数。</t>
  </si>
  <si>
    <t>`Token` 单独记为稀有度。</t>
  </si>
  <si>
    <t>原始文本里有一处粘连记录，未强行拆分，见文末备注。</t>
  </si>
  <si>
    <t>来源文件</t>
  </si>
  <si>
    <t>docs\yuki-card-table.zh-CN.md</t>
  </si>
  <si>
    <t>??</t>
  </si>
  <si>
    <t>xlsx ??????????????????????????</t>
  </si>
  <si>
    <t>?????? Excel Table?????????????????????</t>
  </si>
  <si>
    <t>???????????????????????????????</t>
  </si>
  <si>
    <t>???</t>
  </si>
  <si>
    <r>
      <t>1/0</t>
    </r>
    <r>
      <rPr>
        <sz val="11"/>
        <rFont val="宋体"/>
        <family val="3"/>
        <charset val="134"/>
      </rPr>
      <t>费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</si>
</sst>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  <charset val="134"/>
    </font>
    <font>
      <sz val="11"/>
      <name val="宋体"/>
      <family val="3"/>
      <charset val="134"/>
    </font>
    <font>
      <sz val="11"/>
      <name val="宋体"/>
      <family val="2"/>
      <charset val="134"/>
    </font>
    <font>
      <sz val="11"/>
      <name val="Candara"/>
      <family val="2"/>
    </font>
    <font>
      <sz val="11"/>
      <name val="Candara"/>
      <family val="2"/>
      <charset val="134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8" fillId="0" borderId="0" xfId="0" applyFont="1" applyAlignment="1">
      <alignment horizontal="left"/>
    </xf>
    <xf numFmtId="2" fontId="0" fillId="0" borderId="0" xfId="0" applyNumberFormat="1"/>
    <xf numFmtId="0" fontId="10" fillId="2" borderId="0" xfId="0" applyFont="1" applyFill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vertical="top" wrapText="1"/>
    </xf>
    <xf numFmtId="1" fontId="4" fillId="0" borderId="0" xfId="0" applyNumberFormat="1" applyFont="1"/>
    <xf numFmtId="0" fontId="9" fillId="0" borderId="0" xfId="0" applyFont="1" applyAlignment="1">
      <alignment vertical="top" wrapText="1"/>
    </xf>
    <xf numFmtId="1" fontId="2" fillId="0" borderId="0" xfId="0" applyNumberFormat="1" applyFont="1"/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???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zoomScaleNormal="100" workbookViewId="0">
      <pane ySplit="1" topLeftCell="A78" activePane="bottomLeft" state="frozen"/>
      <selection pane="bottomLeft" activeCell="D86" sqref="D86"/>
    </sheetView>
  </sheetViews>
  <sheetFormatPr defaultRowHeight="14.6" x14ac:dyDescent="0.4"/>
  <cols>
    <col min="1" max="1" width="18" customWidth="1"/>
    <col min="2" max="2" width="8" customWidth="1"/>
    <col min="3" max="4" width="10" customWidth="1"/>
    <col min="5" max="5" width="42" customWidth="1"/>
    <col min="6" max="6" width="10" customWidth="1"/>
    <col min="7" max="7" width="30" customWidth="1"/>
    <col min="8" max="8" width="10" customWidth="1"/>
  </cols>
  <sheetData>
    <row r="1" spans="1:8" ht="15" customHeigh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4">
      <c r="A2" t="s">
        <v>8</v>
      </c>
      <c r="B2" s="9">
        <v>0</v>
      </c>
      <c r="C2" t="s">
        <v>9</v>
      </c>
      <c r="D2" t="s">
        <v>10</v>
      </c>
      <c r="E2" s="10" t="s">
        <v>11</v>
      </c>
      <c r="F2" t="s">
        <v>12</v>
      </c>
      <c r="G2" s="10"/>
      <c r="H2" s="7">
        <v>0.54545454545454541</v>
      </c>
    </row>
    <row r="3" spans="1:8" x14ac:dyDescent="0.4">
      <c r="B3" s="9">
        <v>1</v>
      </c>
      <c r="C3" t="s">
        <v>13</v>
      </c>
      <c r="D3" t="s">
        <v>14</v>
      </c>
      <c r="E3" s="10" t="s">
        <v>15</v>
      </c>
      <c r="F3" t="s">
        <v>12</v>
      </c>
      <c r="G3" s="10"/>
      <c r="H3" s="7">
        <v>1.4</v>
      </c>
    </row>
    <row r="4" spans="1:8" ht="29.15" x14ac:dyDescent="0.4">
      <c r="B4" s="9">
        <v>1</v>
      </c>
      <c r="C4" t="s">
        <v>16</v>
      </c>
      <c r="D4" t="s">
        <v>14</v>
      </c>
      <c r="E4" s="10" t="s">
        <v>17</v>
      </c>
      <c r="F4" t="s">
        <v>12</v>
      </c>
      <c r="G4" s="10"/>
      <c r="H4" s="7"/>
    </row>
    <row r="5" spans="1:8" ht="29.15" x14ac:dyDescent="0.4">
      <c r="B5" s="9">
        <v>0</v>
      </c>
      <c r="C5" t="s">
        <v>16</v>
      </c>
      <c r="D5" t="s">
        <v>14</v>
      </c>
      <c r="E5" s="10" t="s">
        <v>18</v>
      </c>
      <c r="F5" t="s">
        <v>12</v>
      </c>
      <c r="G5" s="10"/>
      <c r="H5" s="7"/>
    </row>
    <row r="6" spans="1:8" x14ac:dyDescent="0.4">
      <c r="B6" s="9">
        <v>1</v>
      </c>
      <c r="C6" t="s">
        <v>19</v>
      </c>
      <c r="D6" t="s">
        <v>20</v>
      </c>
      <c r="E6" s="10" t="s">
        <v>21</v>
      </c>
      <c r="F6" t="s">
        <v>12</v>
      </c>
      <c r="G6" s="10"/>
      <c r="H6" s="7"/>
    </row>
    <row r="7" spans="1:8" ht="16.3" customHeight="1" x14ac:dyDescent="0.4">
      <c r="B7" s="9">
        <v>1</v>
      </c>
      <c r="C7" t="s">
        <v>16</v>
      </c>
      <c r="D7" t="s">
        <v>20</v>
      </c>
      <c r="E7" s="11" t="s">
        <v>22</v>
      </c>
      <c r="F7" t="s">
        <v>12</v>
      </c>
      <c r="G7" s="10"/>
      <c r="H7" s="7"/>
    </row>
    <row r="8" spans="1:8" x14ac:dyDescent="0.4">
      <c r="B8" s="9">
        <v>1</v>
      </c>
      <c r="C8" t="s">
        <v>16</v>
      </c>
      <c r="D8" t="s">
        <v>20</v>
      </c>
      <c r="E8" s="10" t="s">
        <v>23</v>
      </c>
      <c r="F8" t="s">
        <v>12</v>
      </c>
      <c r="G8" s="10"/>
      <c r="H8" s="7">
        <v>0.75</v>
      </c>
    </row>
    <row r="9" spans="1:8" ht="29.15" customHeight="1" x14ac:dyDescent="0.4">
      <c r="A9" t="s">
        <v>24</v>
      </c>
      <c r="B9" s="9">
        <v>1</v>
      </c>
      <c r="C9" t="s">
        <v>19</v>
      </c>
      <c r="D9" t="s">
        <v>10</v>
      </c>
      <c r="E9" s="10" t="s">
        <v>25</v>
      </c>
      <c r="F9" t="s">
        <v>12</v>
      </c>
      <c r="G9" s="10"/>
      <c r="H9" s="7"/>
    </row>
    <row r="10" spans="1:8" x14ac:dyDescent="0.4">
      <c r="A10" t="s">
        <v>26</v>
      </c>
      <c r="B10" s="9">
        <v>1</v>
      </c>
      <c r="C10" t="s">
        <v>13</v>
      </c>
      <c r="D10" t="s">
        <v>10</v>
      </c>
      <c r="E10" s="10" t="s">
        <v>27</v>
      </c>
      <c r="F10" t="s">
        <v>12</v>
      </c>
      <c r="G10" s="10"/>
      <c r="H10" s="7">
        <v>1.2272727272727271</v>
      </c>
    </row>
    <row r="11" spans="1:8" x14ac:dyDescent="0.4">
      <c r="A11" t="s">
        <v>28</v>
      </c>
      <c r="B11" s="9">
        <v>0</v>
      </c>
      <c r="C11" t="s">
        <v>13</v>
      </c>
      <c r="D11" t="s">
        <v>14</v>
      </c>
      <c r="E11" s="10" t="s">
        <v>29</v>
      </c>
      <c r="F11" t="s">
        <v>12</v>
      </c>
      <c r="G11" s="10"/>
      <c r="H11" s="7">
        <v>0.4</v>
      </c>
    </row>
    <row r="12" spans="1:8" ht="29.15" x14ac:dyDescent="0.4">
      <c r="A12" t="s">
        <v>30</v>
      </c>
      <c r="B12" s="9">
        <v>1</v>
      </c>
      <c r="C12" t="s">
        <v>16</v>
      </c>
      <c r="D12" t="s">
        <v>14</v>
      </c>
      <c r="E12" s="10" t="s">
        <v>31</v>
      </c>
      <c r="F12" t="s">
        <v>12</v>
      </c>
      <c r="G12" s="10"/>
      <c r="H12" s="7">
        <v>0.5</v>
      </c>
    </row>
    <row r="13" spans="1:8" ht="16.3" customHeight="1" x14ac:dyDescent="0.4">
      <c r="A13" t="s">
        <v>32</v>
      </c>
      <c r="B13" s="9">
        <v>1</v>
      </c>
      <c r="C13" t="s">
        <v>19</v>
      </c>
      <c r="D13" t="s">
        <v>14</v>
      </c>
      <c r="E13" s="12" t="s">
        <v>33</v>
      </c>
      <c r="F13" t="s">
        <v>12</v>
      </c>
      <c r="G13" s="10"/>
      <c r="H13" s="7"/>
    </row>
    <row r="14" spans="1:8" ht="15" customHeight="1" x14ac:dyDescent="0.4">
      <c r="B14" s="9">
        <v>1</v>
      </c>
      <c r="C14" s="3" t="s">
        <v>13</v>
      </c>
      <c r="D14" s="3" t="s">
        <v>14</v>
      </c>
      <c r="E14" s="13" t="s">
        <v>34</v>
      </c>
      <c r="F14" s="3" t="s">
        <v>12</v>
      </c>
      <c r="G14" s="10"/>
      <c r="H14" s="7">
        <v>1.2222222222222221</v>
      </c>
    </row>
    <row r="15" spans="1:8" ht="15" customHeight="1" x14ac:dyDescent="0.4">
      <c r="A15" s="6" t="s">
        <v>35</v>
      </c>
      <c r="B15" s="14">
        <v>1</v>
      </c>
      <c r="C15" s="6" t="s">
        <v>13</v>
      </c>
      <c r="D15" s="6" t="s">
        <v>10</v>
      </c>
      <c r="E15" s="15" t="s">
        <v>36</v>
      </c>
      <c r="F15" s="6" t="s">
        <v>12</v>
      </c>
      <c r="G15" s="10"/>
      <c r="H15" s="7">
        <v>0.81818181818181812</v>
      </c>
    </row>
    <row r="16" spans="1:8" ht="15" customHeight="1" x14ac:dyDescent="0.4">
      <c r="B16" s="9"/>
      <c r="C16" s="3"/>
      <c r="D16" s="3"/>
      <c r="E16" s="10"/>
      <c r="G16" s="10"/>
      <c r="H16" s="7"/>
    </row>
    <row r="17" spans="1:8" ht="29.15" x14ac:dyDescent="0.4">
      <c r="A17" t="s">
        <v>37</v>
      </c>
      <c r="B17" s="9">
        <v>0</v>
      </c>
      <c r="C17" t="s">
        <v>9</v>
      </c>
      <c r="D17" t="s">
        <v>14</v>
      </c>
      <c r="E17" s="10" t="s">
        <v>38</v>
      </c>
      <c r="F17" t="s">
        <v>39</v>
      </c>
      <c r="G17" s="10"/>
      <c r="H17" s="7"/>
    </row>
    <row r="18" spans="1:8" ht="29.15" x14ac:dyDescent="0.4">
      <c r="A18" t="s">
        <v>39</v>
      </c>
      <c r="B18" s="9">
        <v>1</v>
      </c>
      <c r="C18" t="s">
        <v>13</v>
      </c>
      <c r="D18" t="s">
        <v>10</v>
      </c>
      <c r="E18" s="10" t="s">
        <v>40</v>
      </c>
      <c r="F18" t="s">
        <v>39</v>
      </c>
      <c r="G18" s="10"/>
      <c r="H18" s="7">
        <v>1.081818181818182</v>
      </c>
    </row>
    <row r="19" spans="1:8" ht="29.15" x14ac:dyDescent="0.4">
      <c r="A19" t="s">
        <v>41</v>
      </c>
      <c r="B19" s="9">
        <v>1</v>
      </c>
      <c r="C19" t="s">
        <v>13</v>
      </c>
      <c r="D19" t="s">
        <v>10</v>
      </c>
      <c r="E19" s="10" t="s">
        <v>42</v>
      </c>
      <c r="F19" t="s">
        <v>39</v>
      </c>
      <c r="G19" s="10"/>
      <c r="H19" s="7"/>
    </row>
    <row r="20" spans="1:8" x14ac:dyDescent="0.4">
      <c r="B20" s="9">
        <v>1</v>
      </c>
      <c r="C20" t="s">
        <v>16</v>
      </c>
      <c r="D20" t="s">
        <v>10</v>
      </c>
      <c r="E20" s="10" t="s">
        <v>43</v>
      </c>
      <c r="F20" t="s">
        <v>39</v>
      </c>
      <c r="G20" s="10"/>
      <c r="H20" s="7">
        <v>1.127272727272727</v>
      </c>
    </row>
    <row r="21" spans="1:8" x14ac:dyDescent="0.4">
      <c r="A21" t="s">
        <v>44</v>
      </c>
      <c r="B21" s="9">
        <v>2</v>
      </c>
      <c r="C21" t="s">
        <v>13</v>
      </c>
      <c r="D21" t="s">
        <v>10</v>
      </c>
      <c r="E21" s="10" t="s">
        <v>45</v>
      </c>
      <c r="F21" t="s">
        <v>39</v>
      </c>
      <c r="G21" s="10"/>
      <c r="H21" s="7">
        <v>1.363636363636364</v>
      </c>
    </row>
    <row r="22" spans="1:8" ht="29.15" x14ac:dyDescent="0.4">
      <c r="A22" t="s">
        <v>46</v>
      </c>
      <c r="B22" s="9">
        <v>1</v>
      </c>
      <c r="C22" t="s">
        <v>16</v>
      </c>
      <c r="D22" t="s">
        <v>10</v>
      </c>
      <c r="E22" s="10" t="s">
        <v>47</v>
      </c>
      <c r="F22" t="s">
        <v>39</v>
      </c>
      <c r="G22" s="10"/>
      <c r="H22" s="7">
        <v>1.0909090909090911</v>
      </c>
    </row>
    <row r="23" spans="1:8" x14ac:dyDescent="0.4">
      <c r="B23" s="9">
        <v>1</v>
      </c>
      <c r="C23" t="s">
        <v>13</v>
      </c>
      <c r="D23" t="s">
        <v>14</v>
      </c>
      <c r="E23" s="10" t="s">
        <v>48</v>
      </c>
      <c r="F23" t="s">
        <v>39</v>
      </c>
      <c r="G23" s="10"/>
      <c r="H23" s="7">
        <v>1.377777777777778</v>
      </c>
    </row>
    <row r="24" spans="1:8" ht="29.15" x14ac:dyDescent="0.4">
      <c r="B24" s="9">
        <v>1</v>
      </c>
      <c r="C24" t="s">
        <v>13</v>
      </c>
      <c r="D24" t="s">
        <v>10</v>
      </c>
      <c r="E24" s="10" t="s">
        <v>49</v>
      </c>
      <c r="F24" t="s">
        <v>39</v>
      </c>
      <c r="G24" s="10"/>
      <c r="H24" s="7">
        <v>0.72727272727272729</v>
      </c>
    </row>
    <row r="25" spans="1:8" x14ac:dyDescent="0.4">
      <c r="B25" s="9">
        <v>1</v>
      </c>
      <c r="C25" t="s">
        <v>16</v>
      </c>
      <c r="D25" t="s">
        <v>20</v>
      </c>
      <c r="E25" s="10" t="s">
        <v>50</v>
      </c>
      <c r="F25" t="s">
        <v>39</v>
      </c>
      <c r="G25" s="10"/>
      <c r="H25" s="7"/>
    </row>
    <row r="26" spans="1:8" x14ac:dyDescent="0.4">
      <c r="B26" s="9">
        <v>1</v>
      </c>
      <c r="C26" t="s">
        <v>16</v>
      </c>
      <c r="D26" t="s">
        <v>20</v>
      </c>
      <c r="E26" s="10" t="s">
        <v>51</v>
      </c>
      <c r="F26" t="s">
        <v>39</v>
      </c>
      <c r="G26" s="10"/>
      <c r="H26" s="7"/>
    </row>
    <row r="27" spans="1:8" x14ac:dyDescent="0.4">
      <c r="B27" s="9">
        <v>1</v>
      </c>
      <c r="C27" t="s">
        <v>16</v>
      </c>
      <c r="D27" t="s">
        <v>20</v>
      </c>
      <c r="E27" s="10" t="s">
        <v>52</v>
      </c>
      <c r="F27" t="s">
        <v>39</v>
      </c>
      <c r="G27" s="10"/>
      <c r="H27" s="7"/>
    </row>
    <row r="28" spans="1:8" x14ac:dyDescent="0.4">
      <c r="A28" t="s">
        <v>53</v>
      </c>
      <c r="B28" s="9">
        <v>1</v>
      </c>
      <c r="C28" t="s">
        <v>16</v>
      </c>
      <c r="D28" t="s">
        <v>20</v>
      </c>
      <c r="E28" s="10" t="s">
        <v>54</v>
      </c>
      <c r="F28" t="s">
        <v>39</v>
      </c>
      <c r="G28" s="10"/>
      <c r="H28" s="7"/>
    </row>
    <row r="29" spans="1:8" x14ac:dyDescent="0.4">
      <c r="A29" t="s">
        <v>55</v>
      </c>
      <c r="B29" s="9">
        <v>2</v>
      </c>
      <c r="C29" t="s">
        <v>13</v>
      </c>
      <c r="D29" t="s">
        <v>10</v>
      </c>
      <c r="E29" s="10" t="s">
        <v>56</v>
      </c>
      <c r="F29" t="s">
        <v>39</v>
      </c>
      <c r="G29" s="10"/>
      <c r="H29" s="7">
        <v>1.7636363636363639</v>
      </c>
    </row>
    <row r="30" spans="1:8" x14ac:dyDescent="0.4">
      <c r="B30" s="9">
        <v>0</v>
      </c>
      <c r="C30" t="s">
        <v>16</v>
      </c>
      <c r="D30" t="s">
        <v>14</v>
      </c>
      <c r="E30" s="10" t="s">
        <v>57</v>
      </c>
      <c r="F30" t="s">
        <v>39</v>
      </c>
      <c r="G30" s="10"/>
      <c r="H30" s="7"/>
    </row>
    <row r="31" spans="1:8" ht="29.15" x14ac:dyDescent="0.4">
      <c r="B31" s="9">
        <v>0</v>
      </c>
      <c r="C31" t="s">
        <v>19</v>
      </c>
      <c r="D31" t="s">
        <v>14</v>
      </c>
      <c r="E31" s="10" t="s">
        <v>58</v>
      </c>
      <c r="F31" t="s">
        <v>39</v>
      </c>
      <c r="G31" s="10"/>
      <c r="H31" s="7"/>
    </row>
    <row r="32" spans="1:8" x14ac:dyDescent="0.4">
      <c r="A32" t="s">
        <v>59</v>
      </c>
      <c r="B32" s="9">
        <v>1</v>
      </c>
      <c r="C32" t="s">
        <v>13</v>
      </c>
      <c r="D32" t="s">
        <v>10</v>
      </c>
      <c r="E32" s="10" t="s">
        <v>60</v>
      </c>
      <c r="F32" t="s">
        <v>39</v>
      </c>
      <c r="G32" s="10"/>
      <c r="H32" s="7">
        <v>1.2863636363636359</v>
      </c>
    </row>
    <row r="33" spans="1:8" x14ac:dyDescent="0.4">
      <c r="B33" s="9">
        <v>1</v>
      </c>
      <c r="C33" t="s">
        <v>13</v>
      </c>
      <c r="D33" t="s">
        <v>14</v>
      </c>
      <c r="E33" s="10" t="s">
        <v>61</v>
      </c>
      <c r="F33" t="s">
        <v>39</v>
      </c>
      <c r="G33" s="10"/>
      <c r="H33" s="7">
        <v>1.1527777777777779</v>
      </c>
    </row>
    <row r="34" spans="1:8" x14ac:dyDescent="0.4">
      <c r="B34" s="9">
        <v>1</v>
      </c>
      <c r="C34" t="s">
        <v>16</v>
      </c>
      <c r="D34" t="s">
        <v>20</v>
      </c>
      <c r="E34" s="10" t="s">
        <v>62</v>
      </c>
      <c r="F34" t="s">
        <v>39</v>
      </c>
      <c r="G34" s="10"/>
      <c r="H34" s="7">
        <v>1.125</v>
      </c>
    </row>
    <row r="35" spans="1:8" x14ac:dyDescent="0.4">
      <c r="B35" s="9">
        <v>1</v>
      </c>
      <c r="C35" t="s">
        <v>16</v>
      </c>
      <c r="D35" t="s">
        <v>20</v>
      </c>
      <c r="E35" s="10" t="s">
        <v>63</v>
      </c>
      <c r="F35" t="s">
        <v>39</v>
      </c>
      <c r="G35" s="10"/>
      <c r="H35" s="7"/>
    </row>
    <row r="36" spans="1:8" x14ac:dyDescent="0.4">
      <c r="B36" s="9">
        <v>1</v>
      </c>
      <c r="C36" t="s">
        <v>13</v>
      </c>
      <c r="D36" t="s">
        <v>14</v>
      </c>
      <c r="E36" s="10" t="s">
        <v>64</v>
      </c>
      <c r="F36" t="s">
        <v>39</v>
      </c>
      <c r="G36" s="10"/>
      <c r="H36" s="7"/>
    </row>
    <row r="37" spans="1:8" x14ac:dyDescent="0.4">
      <c r="B37" s="9">
        <v>1</v>
      </c>
      <c r="C37" t="s">
        <v>16</v>
      </c>
      <c r="D37" t="s">
        <v>14</v>
      </c>
      <c r="E37" s="10" t="s">
        <v>65</v>
      </c>
      <c r="F37" t="s">
        <v>39</v>
      </c>
      <c r="G37" s="10"/>
      <c r="H37" s="7">
        <v>1.175</v>
      </c>
    </row>
    <row r="38" spans="1:8" x14ac:dyDescent="0.4">
      <c r="B38" s="9">
        <v>1</v>
      </c>
      <c r="C38" t="s">
        <v>13</v>
      </c>
      <c r="D38" t="s">
        <v>10</v>
      </c>
      <c r="E38" s="10" t="s">
        <v>66</v>
      </c>
      <c r="F38" t="s">
        <v>39</v>
      </c>
      <c r="G38" s="10"/>
      <c r="H38" s="7">
        <v>0.72727272727272729</v>
      </c>
    </row>
    <row r="39" spans="1:8" ht="15" customHeight="1" x14ac:dyDescent="0.4">
      <c r="B39" s="9">
        <v>1</v>
      </c>
      <c r="C39" s="3" t="s">
        <v>16</v>
      </c>
      <c r="D39" t="s">
        <v>14</v>
      </c>
      <c r="E39" s="10" t="s">
        <v>67</v>
      </c>
      <c r="F39" t="s">
        <v>39</v>
      </c>
      <c r="G39" s="10"/>
      <c r="H39" s="7"/>
    </row>
    <row r="40" spans="1:8" x14ac:dyDescent="0.4">
      <c r="B40" s="9">
        <v>1</v>
      </c>
      <c r="C40" t="s">
        <v>16</v>
      </c>
      <c r="D40" t="s">
        <v>20</v>
      </c>
      <c r="E40" s="10" t="s">
        <v>68</v>
      </c>
      <c r="F40" t="s">
        <v>39</v>
      </c>
      <c r="G40" s="10"/>
      <c r="H40" s="7"/>
    </row>
    <row r="41" spans="1:8" ht="15" customHeight="1" x14ac:dyDescent="0.4">
      <c r="A41" s="6" t="s">
        <v>69</v>
      </c>
      <c r="B41" s="14">
        <v>1</v>
      </c>
      <c r="C41" s="6" t="s">
        <v>13</v>
      </c>
      <c r="D41" s="6" t="s">
        <v>10</v>
      </c>
      <c r="E41" s="15" t="s">
        <v>70</v>
      </c>
      <c r="F41" s="6" t="s">
        <v>39</v>
      </c>
      <c r="G41" s="10"/>
      <c r="H41" s="7">
        <v>0.74545454545454537</v>
      </c>
    </row>
    <row r="42" spans="1:8" ht="16.3" customHeight="1" x14ac:dyDescent="0.4">
      <c r="A42" s="4" t="s">
        <v>71</v>
      </c>
      <c r="B42" s="14">
        <v>1</v>
      </c>
      <c r="C42" s="6" t="s">
        <v>19</v>
      </c>
      <c r="D42" s="6" t="s">
        <v>20</v>
      </c>
      <c r="E42" s="11" t="s">
        <v>72</v>
      </c>
      <c r="F42" s="4" t="s">
        <v>39</v>
      </c>
      <c r="G42" s="10"/>
      <c r="H42" s="7"/>
    </row>
    <row r="43" spans="1:8" ht="16.3" customHeight="1" x14ac:dyDescent="0.5">
      <c r="B43" s="9">
        <v>1</v>
      </c>
      <c r="C43" t="s">
        <v>16</v>
      </c>
      <c r="D43" t="s">
        <v>14</v>
      </c>
      <c r="E43" s="10" t="s">
        <v>73</v>
      </c>
      <c r="F43" s="5" t="s">
        <v>39</v>
      </c>
      <c r="G43" s="10"/>
      <c r="H43" s="7">
        <v>0.9555555555555556</v>
      </c>
    </row>
    <row r="44" spans="1:8" x14ac:dyDescent="0.4">
      <c r="B44" s="9">
        <v>0</v>
      </c>
      <c r="C44" t="s">
        <v>13</v>
      </c>
      <c r="D44" t="s">
        <v>14</v>
      </c>
      <c r="E44" s="10" t="s">
        <v>74</v>
      </c>
      <c r="F44" t="s">
        <v>75</v>
      </c>
      <c r="G44" s="10"/>
      <c r="H44" s="7">
        <v>0.4</v>
      </c>
    </row>
    <row r="45" spans="1:8" x14ac:dyDescent="0.4">
      <c r="B45" s="9">
        <v>1</v>
      </c>
      <c r="C45" t="s">
        <v>13</v>
      </c>
      <c r="D45" t="s">
        <v>14</v>
      </c>
      <c r="E45" s="10" t="s">
        <v>76</v>
      </c>
      <c r="F45" t="s">
        <v>75</v>
      </c>
      <c r="G45" s="10"/>
      <c r="H45" s="7">
        <v>1.4222222222222221</v>
      </c>
    </row>
    <row r="46" spans="1:8" ht="29.15" customHeight="1" x14ac:dyDescent="0.4">
      <c r="B46" s="9">
        <v>2</v>
      </c>
      <c r="C46" t="s">
        <v>16</v>
      </c>
      <c r="D46" t="s">
        <v>10</v>
      </c>
      <c r="E46" s="10" t="s">
        <v>77</v>
      </c>
      <c r="F46" t="s">
        <v>75</v>
      </c>
      <c r="G46" s="10"/>
      <c r="H46" s="7"/>
    </row>
    <row r="47" spans="1:8" x14ac:dyDescent="0.4">
      <c r="B47" s="9">
        <v>3</v>
      </c>
      <c r="C47" t="s">
        <v>13</v>
      </c>
      <c r="D47" t="s">
        <v>10</v>
      </c>
      <c r="E47" s="10" t="s">
        <v>78</v>
      </c>
      <c r="F47" t="s">
        <v>75</v>
      </c>
      <c r="G47" s="10"/>
      <c r="H47" s="7"/>
    </row>
    <row r="48" spans="1:8" ht="29.15" x14ac:dyDescent="0.4">
      <c r="B48" s="9">
        <v>1</v>
      </c>
      <c r="C48" t="s">
        <v>13</v>
      </c>
      <c r="D48" t="s">
        <v>14</v>
      </c>
      <c r="E48" s="10" t="s">
        <v>79</v>
      </c>
      <c r="F48" t="s">
        <v>75</v>
      </c>
      <c r="G48" s="10"/>
      <c r="H48" s="7">
        <v>0.77777777777777779</v>
      </c>
    </row>
    <row r="49" spans="1:8" ht="16.3" customHeight="1" x14ac:dyDescent="0.5">
      <c r="A49" t="s">
        <v>80</v>
      </c>
      <c r="B49" s="16">
        <v>1</v>
      </c>
      <c r="C49" t="s">
        <v>81</v>
      </c>
      <c r="D49" s="5" t="s">
        <v>20</v>
      </c>
      <c r="E49" s="11" t="s">
        <v>82</v>
      </c>
      <c r="F49" t="s">
        <v>75</v>
      </c>
      <c r="G49" s="10"/>
      <c r="H49" s="7"/>
    </row>
    <row r="50" spans="1:8" ht="15" x14ac:dyDescent="0.4">
      <c r="A50" t="s">
        <v>83</v>
      </c>
      <c r="B50" s="9">
        <v>1</v>
      </c>
      <c r="C50" t="s">
        <v>19</v>
      </c>
      <c r="D50" t="s">
        <v>14</v>
      </c>
      <c r="E50" s="10" t="s">
        <v>84</v>
      </c>
      <c r="F50" t="s">
        <v>75</v>
      </c>
      <c r="G50" s="19" t="s">
        <v>174</v>
      </c>
      <c r="H50" s="7"/>
    </row>
    <row r="51" spans="1:8" x14ac:dyDescent="0.4">
      <c r="B51" s="9">
        <v>1</v>
      </c>
      <c r="C51" t="s">
        <v>19</v>
      </c>
      <c r="D51" t="s">
        <v>20</v>
      </c>
      <c r="E51" s="10" t="s">
        <v>85</v>
      </c>
      <c r="F51" t="s">
        <v>75</v>
      </c>
      <c r="G51" s="10"/>
      <c r="H51" s="7"/>
    </row>
    <row r="52" spans="1:8" x14ac:dyDescent="0.4">
      <c r="B52" s="9">
        <v>1</v>
      </c>
      <c r="C52" t="s">
        <v>19</v>
      </c>
      <c r="D52" t="s">
        <v>20</v>
      </c>
      <c r="E52" s="10" t="s">
        <v>86</v>
      </c>
      <c r="F52" t="s">
        <v>75</v>
      </c>
      <c r="G52" s="10"/>
      <c r="H52" s="7"/>
    </row>
    <row r="53" spans="1:8" x14ac:dyDescent="0.4">
      <c r="B53" s="9">
        <v>1</v>
      </c>
      <c r="C53" t="s">
        <v>13</v>
      </c>
      <c r="D53" t="s">
        <v>14</v>
      </c>
      <c r="E53" s="10" t="s">
        <v>87</v>
      </c>
      <c r="F53" t="s">
        <v>75</v>
      </c>
      <c r="G53" s="10"/>
      <c r="H53" s="7">
        <v>1.4222222222222221</v>
      </c>
    </row>
    <row r="54" spans="1:8" x14ac:dyDescent="0.4">
      <c r="B54" s="9">
        <v>1</v>
      </c>
      <c r="C54" t="s">
        <v>19</v>
      </c>
      <c r="D54" t="s">
        <v>20</v>
      </c>
      <c r="E54" s="10" t="s">
        <v>88</v>
      </c>
      <c r="F54" t="s">
        <v>75</v>
      </c>
      <c r="G54" s="10"/>
      <c r="H54" s="7"/>
    </row>
    <row r="55" spans="1:8" ht="29.15" x14ac:dyDescent="0.4">
      <c r="B55" s="9">
        <v>1</v>
      </c>
      <c r="C55" t="s">
        <v>13</v>
      </c>
      <c r="D55" t="s">
        <v>14</v>
      </c>
      <c r="E55" s="10" t="s">
        <v>89</v>
      </c>
      <c r="F55" t="s">
        <v>75</v>
      </c>
      <c r="G55" s="10"/>
      <c r="H55" s="7">
        <v>1.3555555555555561</v>
      </c>
    </row>
    <row r="56" spans="1:8" ht="29.15" x14ac:dyDescent="0.4">
      <c r="B56" s="9">
        <v>1</v>
      </c>
      <c r="C56" t="s">
        <v>13</v>
      </c>
      <c r="D56" t="s">
        <v>10</v>
      </c>
      <c r="E56" s="10" t="s">
        <v>90</v>
      </c>
      <c r="F56" t="s">
        <v>75</v>
      </c>
      <c r="G56" s="10"/>
      <c r="H56" s="7">
        <v>0.94545454545454544</v>
      </c>
    </row>
    <row r="57" spans="1:8" ht="16.3" customHeight="1" x14ac:dyDescent="0.5">
      <c r="B57" s="9">
        <v>0</v>
      </c>
      <c r="C57" s="5" t="s">
        <v>16</v>
      </c>
      <c r="D57" t="s">
        <v>14</v>
      </c>
      <c r="E57" s="10" t="s">
        <v>91</v>
      </c>
      <c r="F57" t="s">
        <v>75</v>
      </c>
      <c r="G57" s="10"/>
      <c r="H57" s="7">
        <v>1.3</v>
      </c>
    </row>
    <row r="58" spans="1:8" x14ac:dyDescent="0.4">
      <c r="B58" s="9">
        <v>1</v>
      </c>
      <c r="C58" t="s">
        <v>16</v>
      </c>
      <c r="D58" t="s">
        <v>10</v>
      </c>
      <c r="E58" s="10" t="s">
        <v>92</v>
      </c>
      <c r="F58" t="s">
        <v>75</v>
      </c>
      <c r="G58" s="10"/>
      <c r="H58" s="7"/>
    </row>
    <row r="59" spans="1:8" x14ac:dyDescent="0.4">
      <c r="A59" s="6"/>
      <c r="B59" s="14">
        <v>0</v>
      </c>
      <c r="C59" s="6" t="s">
        <v>16</v>
      </c>
      <c r="D59" s="6" t="s">
        <v>14</v>
      </c>
      <c r="E59" s="15" t="s">
        <v>93</v>
      </c>
      <c r="F59" s="6" t="s">
        <v>75</v>
      </c>
      <c r="G59" s="10"/>
      <c r="H59" s="7">
        <v>1</v>
      </c>
    </row>
    <row r="60" spans="1:8" ht="29.15" x14ac:dyDescent="0.4">
      <c r="A60" s="6"/>
      <c r="B60" s="14">
        <v>1</v>
      </c>
      <c r="C60" s="6" t="s">
        <v>16</v>
      </c>
      <c r="D60" s="6" t="s">
        <v>14</v>
      </c>
      <c r="E60" s="15" t="s">
        <v>94</v>
      </c>
      <c r="F60" s="6" t="s">
        <v>75</v>
      </c>
      <c r="G60" s="10"/>
      <c r="H60" s="7"/>
    </row>
    <row r="61" spans="1:8" ht="29.15" x14ac:dyDescent="0.4">
      <c r="A61" s="6" t="s">
        <v>95</v>
      </c>
      <c r="B61" s="14">
        <v>1</v>
      </c>
      <c r="C61" s="6" t="s">
        <v>16</v>
      </c>
      <c r="D61" s="6" t="s">
        <v>20</v>
      </c>
      <c r="E61" s="15" t="s">
        <v>96</v>
      </c>
      <c r="F61" s="6" t="s">
        <v>75</v>
      </c>
      <c r="G61" s="19" t="s">
        <v>174</v>
      </c>
      <c r="H61" s="7"/>
    </row>
    <row r="62" spans="1:8" ht="16.3" customHeight="1" x14ac:dyDescent="0.4">
      <c r="A62" s="6" t="s">
        <v>97</v>
      </c>
      <c r="B62" s="14">
        <v>1</v>
      </c>
      <c r="C62" s="6" t="s">
        <v>16</v>
      </c>
      <c r="D62" s="6" t="s">
        <v>10</v>
      </c>
      <c r="E62" s="15" t="s">
        <v>98</v>
      </c>
      <c r="F62" s="6" t="s">
        <v>75</v>
      </c>
      <c r="G62" s="10"/>
      <c r="H62" s="7">
        <v>0.96103896103896114</v>
      </c>
    </row>
    <row r="63" spans="1:8" ht="16.3" customHeight="1" x14ac:dyDescent="0.4">
      <c r="A63" s="6" t="s">
        <v>99</v>
      </c>
      <c r="B63" s="14">
        <v>1</v>
      </c>
      <c r="C63" s="6" t="s">
        <v>19</v>
      </c>
      <c r="D63" s="6" t="s">
        <v>14</v>
      </c>
      <c r="E63" s="15" t="s">
        <v>100</v>
      </c>
      <c r="F63" s="6" t="s">
        <v>75</v>
      </c>
      <c r="G63" s="10"/>
      <c r="H63" s="7">
        <v>0.54285714285714293</v>
      </c>
    </row>
    <row r="64" spans="1:8" ht="15" customHeight="1" x14ac:dyDescent="0.4">
      <c r="A64" s="6"/>
      <c r="B64" s="14">
        <v>1</v>
      </c>
      <c r="C64" s="6" t="s">
        <v>13</v>
      </c>
      <c r="D64" s="6" t="s">
        <v>10</v>
      </c>
      <c r="E64" s="15" t="s">
        <v>101</v>
      </c>
      <c r="F64" s="6" t="s">
        <v>75</v>
      </c>
      <c r="G64" s="10"/>
      <c r="H64" s="7">
        <v>0.54545454545454541</v>
      </c>
    </row>
    <row r="65" spans="1:8" ht="15" customHeight="1" x14ac:dyDescent="0.4">
      <c r="A65" s="6" t="s">
        <v>102</v>
      </c>
      <c r="B65" s="14">
        <v>1</v>
      </c>
      <c r="C65" s="6" t="s">
        <v>13</v>
      </c>
      <c r="D65" s="6" t="s">
        <v>10</v>
      </c>
      <c r="E65" s="15" t="s">
        <v>103</v>
      </c>
      <c r="F65" s="6" t="s">
        <v>75</v>
      </c>
      <c r="G65" s="10"/>
      <c r="H65" s="7">
        <v>1.272727272727272</v>
      </c>
    </row>
    <row r="66" spans="1:8" ht="15" customHeight="1" x14ac:dyDescent="0.4">
      <c r="A66" s="6" t="s">
        <v>104</v>
      </c>
      <c r="B66" s="14">
        <v>1</v>
      </c>
      <c r="C66" s="6" t="s">
        <v>19</v>
      </c>
      <c r="D66" s="6" t="s">
        <v>10</v>
      </c>
      <c r="E66" s="15" t="s">
        <v>105</v>
      </c>
      <c r="F66" s="6" t="s">
        <v>75</v>
      </c>
      <c r="G66" s="10"/>
      <c r="H66" s="7"/>
    </row>
    <row r="67" spans="1:8" ht="16.3" customHeight="1" x14ac:dyDescent="0.4">
      <c r="A67" s="6" t="s">
        <v>106</v>
      </c>
      <c r="B67" s="14">
        <v>0</v>
      </c>
      <c r="C67" s="6" t="s">
        <v>16</v>
      </c>
      <c r="D67" s="6" t="s">
        <v>10</v>
      </c>
      <c r="E67" s="15" t="s">
        <v>107</v>
      </c>
      <c r="F67" s="6" t="s">
        <v>75</v>
      </c>
      <c r="G67" s="10"/>
      <c r="H67" s="7"/>
    </row>
    <row r="68" spans="1:8" ht="15" customHeight="1" x14ac:dyDescent="0.4">
      <c r="A68" s="6" t="s">
        <v>108</v>
      </c>
      <c r="B68" s="14">
        <v>1</v>
      </c>
      <c r="C68" s="6" t="s">
        <v>16</v>
      </c>
      <c r="D68" s="6" t="s">
        <v>20</v>
      </c>
      <c r="E68" s="15" t="s">
        <v>109</v>
      </c>
      <c r="F68" s="6" t="s">
        <v>75</v>
      </c>
      <c r="G68" s="10"/>
      <c r="H68" s="7"/>
    </row>
    <row r="69" spans="1:8" ht="16.3" customHeight="1" x14ac:dyDescent="0.4">
      <c r="A69" s="6" t="s">
        <v>110</v>
      </c>
      <c r="B69" s="14">
        <v>1</v>
      </c>
      <c r="C69" s="6" t="s">
        <v>19</v>
      </c>
      <c r="D69" s="6" t="s">
        <v>14</v>
      </c>
      <c r="E69" s="15" t="s">
        <v>111</v>
      </c>
      <c r="F69" s="6" t="s">
        <v>75</v>
      </c>
      <c r="G69" s="13" t="s">
        <v>112</v>
      </c>
      <c r="H69" s="7">
        <v>1.0317460317460321</v>
      </c>
    </row>
    <row r="70" spans="1:8" ht="15" customHeight="1" x14ac:dyDescent="0.4">
      <c r="A70" s="6" t="s">
        <v>113</v>
      </c>
      <c r="B70" s="14">
        <v>3</v>
      </c>
      <c r="C70" s="6" t="s">
        <v>19</v>
      </c>
      <c r="D70" s="6" t="s">
        <v>20</v>
      </c>
      <c r="E70" s="15" t="s">
        <v>114</v>
      </c>
      <c r="F70" s="6" t="s">
        <v>75</v>
      </c>
      <c r="G70" s="10"/>
      <c r="H70" s="7"/>
    </row>
    <row r="71" spans="1:8" ht="15" customHeight="1" x14ac:dyDescent="0.4">
      <c r="A71" s="6" t="s">
        <v>115</v>
      </c>
      <c r="B71" s="14">
        <v>1</v>
      </c>
      <c r="C71" s="6" t="s">
        <v>16</v>
      </c>
      <c r="D71" s="6" t="s">
        <v>14</v>
      </c>
      <c r="E71" s="15" t="s">
        <v>116</v>
      </c>
      <c r="F71" s="6" t="s">
        <v>75</v>
      </c>
      <c r="G71" s="10"/>
      <c r="H71" s="7"/>
    </row>
    <row r="72" spans="1:8" x14ac:dyDescent="0.4">
      <c r="A72" s="6" t="s">
        <v>117</v>
      </c>
      <c r="B72" s="14">
        <v>1</v>
      </c>
      <c r="C72" s="6" t="s">
        <v>19</v>
      </c>
      <c r="D72" s="6" t="s">
        <v>10</v>
      </c>
      <c r="E72" s="15" t="s">
        <v>118</v>
      </c>
      <c r="F72" s="6" t="s">
        <v>75</v>
      </c>
      <c r="G72" s="10"/>
      <c r="H72" s="7"/>
    </row>
    <row r="73" spans="1:8" x14ac:dyDescent="0.4">
      <c r="A73" t="s">
        <v>119</v>
      </c>
      <c r="B73" s="9">
        <v>1</v>
      </c>
      <c r="C73" t="s">
        <v>16</v>
      </c>
      <c r="D73" t="s">
        <v>20</v>
      </c>
      <c r="E73" s="10" t="s">
        <v>120</v>
      </c>
      <c r="F73" t="s">
        <v>119</v>
      </c>
      <c r="G73" s="10"/>
      <c r="H73" s="7"/>
    </row>
    <row r="74" spans="1:8" x14ac:dyDescent="0.4">
      <c r="B74" s="9">
        <v>1</v>
      </c>
      <c r="C74" t="s">
        <v>19</v>
      </c>
      <c r="D74" t="s">
        <v>14</v>
      </c>
      <c r="E74" s="10" t="s">
        <v>121</v>
      </c>
      <c r="F74" t="s">
        <v>119</v>
      </c>
      <c r="G74" s="10"/>
      <c r="H74" s="7">
        <v>0.5</v>
      </c>
    </row>
    <row r="75" spans="1:8" x14ac:dyDescent="0.4">
      <c r="B75" s="9">
        <v>1</v>
      </c>
      <c r="C75" t="s">
        <v>13</v>
      </c>
      <c r="D75" t="s">
        <v>14</v>
      </c>
      <c r="E75" s="10" t="s">
        <v>122</v>
      </c>
      <c r="F75" t="s">
        <v>119</v>
      </c>
      <c r="G75" s="10"/>
      <c r="H75" s="7">
        <v>1.125</v>
      </c>
    </row>
    <row r="76" spans="1:8" x14ac:dyDescent="0.4">
      <c r="B76" s="9">
        <v>1</v>
      </c>
      <c r="C76" t="s">
        <v>16</v>
      </c>
      <c r="D76" t="s">
        <v>20</v>
      </c>
      <c r="E76" s="10" t="s">
        <v>123</v>
      </c>
      <c r="F76" t="s">
        <v>119</v>
      </c>
      <c r="G76" s="10"/>
      <c r="H76" s="7"/>
    </row>
    <row r="77" spans="1:8" ht="29.15" x14ac:dyDescent="0.4">
      <c r="A77" t="s">
        <v>124</v>
      </c>
      <c r="B77" s="9">
        <v>0</v>
      </c>
      <c r="C77" t="s">
        <v>19</v>
      </c>
      <c r="D77" t="s">
        <v>10</v>
      </c>
      <c r="E77" s="10" t="s">
        <v>125</v>
      </c>
      <c r="F77" t="s">
        <v>119</v>
      </c>
      <c r="G77" s="10"/>
      <c r="H77" s="7">
        <v>0.45454545454545447</v>
      </c>
    </row>
    <row r="78" spans="1:8" ht="29.15" customHeight="1" x14ac:dyDescent="0.4">
      <c r="B78" s="9">
        <v>1</v>
      </c>
      <c r="C78" t="s">
        <v>13</v>
      </c>
      <c r="D78" t="s">
        <v>10</v>
      </c>
      <c r="E78" s="10" t="s">
        <v>126</v>
      </c>
      <c r="F78" t="s">
        <v>119</v>
      </c>
      <c r="G78" s="10"/>
      <c r="H78" s="7">
        <v>0.92045454545454541</v>
      </c>
    </row>
    <row r="79" spans="1:8" ht="14.6" customHeight="1" x14ac:dyDescent="0.4">
      <c r="B79" s="9">
        <v>1</v>
      </c>
      <c r="C79" t="s">
        <v>16</v>
      </c>
      <c r="D79" t="s">
        <v>14</v>
      </c>
      <c r="E79" s="10" t="s">
        <v>127</v>
      </c>
      <c r="F79" t="s">
        <v>119</v>
      </c>
      <c r="G79" s="10"/>
      <c r="H79" s="7"/>
    </row>
    <row r="80" spans="1:8" ht="14.6" customHeight="1" x14ac:dyDescent="0.4">
      <c r="B80" s="9">
        <v>1</v>
      </c>
      <c r="C80" t="s">
        <v>16</v>
      </c>
      <c r="D80" t="s">
        <v>20</v>
      </c>
      <c r="E80" s="10" t="s">
        <v>128</v>
      </c>
      <c r="F80" t="s">
        <v>119</v>
      </c>
      <c r="G80" s="10"/>
      <c r="H80" s="7"/>
    </row>
    <row r="81" spans="1:8" ht="16.3" customHeight="1" x14ac:dyDescent="0.4">
      <c r="A81" t="s">
        <v>129</v>
      </c>
      <c r="B81" s="9">
        <v>0</v>
      </c>
      <c r="C81" t="s">
        <v>130</v>
      </c>
      <c r="D81" t="s">
        <v>10</v>
      </c>
      <c r="E81" s="12" t="s">
        <v>131</v>
      </c>
      <c r="F81" t="s">
        <v>119</v>
      </c>
      <c r="G81" s="10"/>
      <c r="H81" s="7"/>
    </row>
    <row r="82" spans="1:8" ht="15" customHeight="1" x14ac:dyDescent="0.4">
      <c r="A82" s="6" t="s">
        <v>132</v>
      </c>
      <c r="B82" s="14">
        <v>1</v>
      </c>
      <c r="C82" s="6" t="s">
        <v>13</v>
      </c>
      <c r="D82" s="6" t="s">
        <v>10</v>
      </c>
      <c r="E82" s="17" t="s">
        <v>133</v>
      </c>
      <c r="F82" s="6" t="s">
        <v>119</v>
      </c>
      <c r="G82" s="10"/>
      <c r="H82" s="7">
        <v>0.79545454545454541</v>
      </c>
    </row>
    <row r="83" spans="1:8" ht="16.3" customHeight="1" x14ac:dyDescent="0.4">
      <c r="A83" s="6" t="s">
        <v>134</v>
      </c>
      <c r="B83" s="14">
        <v>1</v>
      </c>
      <c r="C83" s="6" t="s">
        <v>19</v>
      </c>
      <c r="D83" s="6" t="s">
        <v>20</v>
      </c>
      <c r="E83" s="17" t="s">
        <v>135</v>
      </c>
      <c r="F83" s="6" t="s">
        <v>119</v>
      </c>
      <c r="G83" s="10"/>
      <c r="H83" s="7"/>
    </row>
    <row r="84" spans="1:8" ht="16.3" customHeight="1" x14ac:dyDescent="0.5">
      <c r="B84" s="9">
        <v>1</v>
      </c>
      <c r="C84" t="s">
        <v>16</v>
      </c>
      <c r="D84" t="s">
        <v>20</v>
      </c>
      <c r="E84" s="10" t="s">
        <v>136</v>
      </c>
      <c r="F84" s="5" t="s">
        <v>119</v>
      </c>
      <c r="G84" s="10"/>
      <c r="H84" s="7"/>
    </row>
    <row r="85" spans="1:8" ht="16.3" customHeight="1" x14ac:dyDescent="0.5">
      <c r="B85" s="9">
        <v>1</v>
      </c>
      <c r="C85" t="s">
        <v>16</v>
      </c>
      <c r="D85" t="s">
        <v>14</v>
      </c>
      <c r="E85" s="10" t="s">
        <v>137</v>
      </c>
      <c r="F85" s="5" t="s">
        <v>119</v>
      </c>
      <c r="G85" s="10"/>
      <c r="H85" s="7"/>
    </row>
    <row r="86" spans="1:8" ht="16.3" customHeight="1" x14ac:dyDescent="0.5">
      <c r="B86" s="9">
        <v>1</v>
      </c>
      <c r="C86" t="s">
        <v>16</v>
      </c>
      <c r="D86" t="s">
        <v>20</v>
      </c>
      <c r="E86" s="10" t="s">
        <v>138</v>
      </c>
      <c r="F86" s="5" t="s">
        <v>119</v>
      </c>
      <c r="G86" s="10"/>
      <c r="H86" s="7"/>
    </row>
    <row r="87" spans="1:8" ht="15" customHeight="1" x14ac:dyDescent="0.4">
      <c r="A87" s="2"/>
      <c r="B87" s="9">
        <v>1</v>
      </c>
      <c r="C87" s="3" t="s">
        <v>13</v>
      </c>
      <c r="D87" s="3" t="s">
        <v>10</v>
      </c>
      <c r="E87" s="13" t="s">
        <v>139</v>
      </c>
      <c r="F87" s="3" t="s">
        <v>75</v>
      </c>
      <c r="G87" s="10"/>
      <c r="H87" s="7">
        <v>1.060606060606061</v>
      </c>
    </row>
    <row r="88" spans="1:8" x14ac:dyDescent="0.4">
      <c r="A88" s="2"/>
      <c r="B88" s="18"/>
      <c r="C88" s="2"/>
      <c r="D88" s="2"/>
      <c r="E88" s="19"/>
      <c r="F88" s="2"/>
      <c r="G88" s="10"/>
      <c r="H88" s="7"/>
    </row>
    <row r="89" spans="1:8" ht="29.15" x14ac:dyDescent="0.4">
      <c r="A89" t="s">
        <v>140</v>
      </c>
      <c r="B89" s="9">
        <v>1</v>
      </c>
      <c r="C89" t="s">
        <v>130</v>
      </c>
      <c r="D89" t="s">
        <v>10</v>
      </c>
      <c r="E89" s="10" t="s">
        <v>141</v>
      </c>
      <c r="F89" t="s">
        <v>12</v>
      </c>
      <c r="G89" s="10"/>
      <c r="H89" s="7"/>
    </row>
    <row r="90" spans="1:8" ht="15" customHeight="1" x14ac:dyDescent="0.4">
      <c r="A90" s="2" t="s">
        <v>142</v>
      </c>
      <c r="B90" s="18">
        <v>0</v>
      </c>
      <c r="C90" s="2" t="s">
        <v>130</v>
      </c>
      <c r="D90" s="2" t="s">
        <v>10</v>
      </c>
      <c r="E90" s="20" t="s">
        <v>143</v>
      </c>
      <c r="F90" s="2" t="s">
        <v>75</v>
      </c>
      <c r="G90" s="10"/>
      <c r="H90" s="7"/>
    </row>
    <row r="91" spans="1:8" x14ac:dyDescent="0.4">
      <c r="A91" s="2"/>
      <c r="B91" s="18"/>
      <c r="C91" s="2"/>
      <c r="D91" s="2"/>
      <c r="E91" s="19"/>
      <c r="F91" s="2"/>
      <c r="G91" s="10"/>
      <c r="H91" s="7"/>
    </row>
    <row r="92" spans="1:8" x14ac:dyDescent="0.4">
      <c r="A92" s="2"/>
      <c r="B92" s="18"/>
      <c r="C92" s="2"/>
      <c r="D92" s="2"/>
      <c r="E92" s="19"/>
      <c r="F92" s="2"/>
      <c r="G92" s="10"/>
      <c r="H92" s="7"/>
    </row>
  </sheetData>
  <autoFilter ref="A1:F70" xr:uid="{00000000-0009-0000-0000-000000000000}">
    <sortState xmlns:xlrd2="http://schemas.microsoft.com/office/spreadsheetml/2017/richdata2" ref="A2:F86">
      <sortCondition ref="F1:F70"/>
    </sortState>
  </autoFilter>
  <phoneticPr fontId="3" type="noConversion"/>
  <dataValidations count="1">
    <dataValidation type="whole" allowBlank="1" errorTitle="??????" error="???????????" promptTitle="??" prompt="???????????" sqref="B2:B1048576" xr:uid="{00000000-0002-0000-0000-000000000000}">
      <formula1>0</formula1>
      <formula2>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1000000}">
          <x14:formula1>
            <xm:f>_options!$A$2:$A$8</xm:f>
          </x14:formula1>
          <xm:sqref>C2:C1048576</xm:sqref>
        </x14:dataValidation>
        <x14:dataValidation type="list" allowBlank="1" xr:uid="{00000000-0002-0000-0000-000002000000}">
          <x14:formula1>
            <xm:f>_options!$B$2:$B$4</xm:f>
          </x14:formula1>
          <xm:sqref>D2:D1048576</xm:sqref>
        </x14:dataValidation>
        <x14:dataValidation type="list" allowBlank="1" xr:uid="{00000000-0002-0000-0000-000003000000}">
          <x14:formula1>
            <xm:f>_options!$C$2:$C$5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C7" sqref="C7"/>
    </sheetView>
  </sheetViews>
  <sheetFormatPr defaultRowHeight="14.6" x14ac:dyDescent="0.4"/>
  <cols>
    <col min="1" max="1" width="12" customWidth="1"/>
    <col min="2" max="2" width="10" customWidth="1"/>
  </cols>
  <sheetData>
    <row r="1" spans="1:2" x14ac:dyDescent="0.4">
      <c r="A1" s="21" t="s">
        <v>5</v>
      </c>
      <c r="B1" s="21" t="s">
        <v>144</v>
      </c>
    </row>
    <row r="2" spans="1:2" x14ac:dyDescent="0.4">
      <c r="A2" t="s">
        <v>39</v>
      </c>
      <c r="B2" t="e">
        <f>COUNTIF('[1]???'!$F:$F,A2)</f>
        <v>#VALUE!</v>
      </c>
    </row>
    <row r="3" spans="1:2" x14ac:dyDescent="0.4">
      <c r="A3" t="s">
        <v>119</v>
      </c>
      <c r="B3" t="e">
        <f>COUNTIF('[1]???'!$F:$F,A3)</f>
        <v>#VALUE!</v>
      </c>
    </row>
    <row r="4" spans="1:2" x14ac:dyDescent="0.4">
      <c r="A4" t="s">
        <v>12</v>
      </c>
      <c r="B4" t="e">
        <f>COUNTIF('[1]???'!$F:$F,A4)</f>
        <v>#VALUE!</v>
      </c>
    </row>
    <row r="5" spans="1:2" x14ac:dyDescent="0.4">
      <c r="A5" t="s">
        <v>75</v>
      </c>
      <c r="B5" t="e">
        <f>COUNTIF('[1]???'!$F:$F,A5)</f>
        <v>#VALUE!</v>
      </c>
    </row>
  </sheetData>
  <autoFilter ref="A1:B5" xr:uid="{00000000-0009-0000-0000-000001000000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 activeCell="C32" sqref="C32"/>
    </sheetView>
  </sheetViews>
  <sheetFormatPr defaultRowHeight="14.6" x14ac:dyDescent="0.4"/>
  <cols>
    <col min="1" max="1" width="12" customWidth="1"/>
    <col min="2" max="2" width="10" customWidth="1"/>
  </cols>
  <sheetData>
    <row r="1" spans="1:2" x14ac:dyDescent="0.4">
      <c r="A1" s="21" t="s">
        <v>2</v>
      </c>
      <c r="B1" s="21" t="s">
        <v>144</v>
      </c>
    </row>
    <row r="2" spans="1:2" x14ac:dyDescent="0.4">
      <c r="A2" t="s">
        <v>9</v>
      </c>
      <c r="B2" t="e">
        <f>COUNTIF('[1]???'!$C:$C,A2)</f>
        <v>#VALUE!</v>
      </c>
    </row>
    <row r="3" spans="1:2" x14ac:dyDescent="0.4">
      <c r="A3" t="s">
        <v>13</v>
      </c>
      <c r="B3" t="e">
        <f>COUNTIF('[1]???'!$C:$C,A3)</f>
        <v>#VALUE!</v>
      </c>
    </row>
    <row r="4" spans="1:2" x14ac:dyDescent="0.4">
      <c r="A4" t="s">
        <v>16</v>
      </c>
      <c r="B4" t="e">
        <f>COUNTIF('[1]???'!$C:$C,A4)</f>
        <v>#VALUE!</v>
      </c>
    </row>
    <row r="5" spans="1:2" x14ac:dyDescent="0.4">
      <c r="A5" t="s">
        <v>19</v>
      </c>
      <c r="B5" t="e">
        <f>COUNTIF('[1]???'!$C:$C,A5)</f>
        <v>#VALUE!</v>
      </c>
    </row>
    <row r="6" spans="1:2" x14ac:dyDescent="0.4">
      <c r="A6" t="s">
        <v>130</v>
      </c>
      <c r="B6" t="e">
        <f>COUNTIF('[1]???'!$C:$C,A6)</f>
        <v>#VALUE!</v>
      </c>
    </row>
    <row r="7" spans="1:2" x14ac:dyDescent="0.4">
      <c r="A7" t="s">
        <v>81</v>
      </c>
      <c r="B7" t="e">
        <f>COUNTIF('[1]???'!$C:$C,A7)</f>
        <v>#VALUE!</v>
      </c>
    </row>
    <row r="8" spans="1:2" x14ac:dyDescent="0.4">
      <c r="A8" t="s">
        <v>145</v>
      </c>
      <c r="B8" t="e">
        <f>COUNTIF('[1]???'!$C:$C,A8)</f>
        <v>#VALUE!</v>
      </c>
    </row>
  </sheetData>
  <autoFilter ref="A1:B8" xr:uid="{00000000-0009-0000-0000-000002000000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 activeCell="H14" sqref="H14"/>
    </sheetView>
  </sheetViews>
  <sheetFormatPr defaultRowHeight="14.6" x14ac:dyDescent="0.4"/>
  <cols>
    <col min="1" max="1" width="12" customWidth="1"/>
    <col min="2" max="2" width="10" customWidth="1"/>
  </cols>
  <sheetData>
    <row r="1" spans="1:2" x14ac:dyDescent="0.4">
      <c r="A1" s="21" t="s">
        <v>3</v>
      </c>
      <c r="B1" s="21" t="s">
        <v>144</v>
      </c>
    </row>
    <row r="2" spans="1:2" x14ac:dyDescent="0.4">
      <c r="A2" t="s">
        <v>14</v>
      </c>
      <c r="B2" t="e">
        <f>COUNTIF('[1]???'!$D:$D,A2)</f>
        <v>#VALUE!</v>
      </c>
    </row>
    <row r="3" spans="1:2" x14ac:dyDescent="0.4">
      <c r="A3" t="s">
        <v>20</v>
      </c>
      <c r="B3" t="e">
        <f>COUNTIF('[1]???'!$D:$D,A3)</f>
        <v>#VALUE!</v>
      </c>
    </row>
    <row r="4" spans="1:2" x14ac:dyDescent="0.4">
      <c r="A4" t="s">
        <v>10</v>
      </c>
      <c r="B4" t="e">
        <f>COUNTIF('[1]???'!$D:$D,A4)</f>
        <v>#VALUE!</v>
      </c>
    </row>
  </sheetData>
  <autoFilter ref="A1:B4" xr:uid="{00000000-0009-0000-0000-000003000000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1" topLeftCell="A2" activePane="bottomLeft" state="frozen"/>
      <selection pane="bottomLeft" activeCell="B29" sqref="B29"/>
    </sheetView>
  </sheetViews>
  <sheetFormatPr defaultRowHeight="14.6" x14ac:dyDescent="0.4"/>
  <cols>
    <col min="1" max="1" width="18" customWidth="1"/>
    <col min="2" max="2" width="100" customWidth="1"/>
  </cols>
  <sheetData>
    <row r="1" spans="1:3" x14ac:dyDescent="0.4">
      <c r="A1" s="1" t="s">
        <v>146</v>
      </c>
      <c r="B1" s="1" t="s">
        <v>147</v>
      </c>
    </row>
    <row r="2" spans="1:3" x14ac:dyDescent="0.4">
      <c r="A2" t="s">
        <v>39</v>
      </c>
      <c r="B2" t="s">
        <v>148</v>
      </c>
    </row>
    <row r="3" spans="1:3" x14ac:dyDescent="0.4">
      <c r="A3" t="s">
        <v>12</v>
      </c>
      <c r="B3" t="s">
        <v>149</v>
      </c>
    </row>
    <row r="4" spans="1:3" x14ac:dyDescent="0.4">
      <c r="A4" t="s">
        <v>150</v>
      </c>
      <c r="B4" t="s">
        <v>151</v>
      </c>
    </row>
    <row r="5" spans="1:3" x14ac:dyDescent="0.4">
      <c r="A5" t="s">
        <v>152</v>
      </c>
      <c r="B5" t="s">
        <v>153</v>
      </c>
    </row>
    <row r="6" spans="1:3" x14ac:dyDescent="0.4">
      <c r="A6" t="s">
        <v>119</v>
      </c>
      <c r="B6" t="s">
        <v>154</v>
      </c>
    </row>
    <row r="7" spans="1:3" x14ac:dyDescent="0.4">
      <c r="A7" t="s">
        <v>59</v>
      </c>
      <c r="B7" t="s">
        <v>155</v>
      </c>
    </row>
    <row r="8" spans="1:3" x14ac:dyDescent="0.4">
      <c r="A8" t="s">
        <v>156</v>
      </c>
      <c r="B8" t="s">
        <v>157</v>
      </c>
    </row>
    <row r="10" spans="1:3" ht="15" customHeight="1" x14ac:dyDescent="0.4">
      <c r="A10" s="3" t="s">
        <v>69</v>
      </c>
      <c r="B10" s="3" t="s">
        <v>158</v>
      </c>
      <c r="C10" s="3" t="s">
        <v>159</v>
      </c>
    </row>
    <row r="11" spans="1:3" ht="15" customHeight="1" x14ac:dyDescent="0.4">
      <c r="A11" s="3" t="s">
        <v>132</v>
      </c>
      <c r="B11" s="3" t="s">
        <v>160</v>
      </c>
      <c r="C11" s="3" t="s">
        <v>159</v>
      </c>
    </row>
    <row r="12" spans="1:3" ht="15" customHeight="1" x14ac:dyDescent="0.4">
      <c r="A12" s="3" t="s">
        <v>35</v>
      </c>
      <c r="B12" s="3" t="s">
        <v>161</v>
      </c>
      <c r="C12" s="3" t="s">
        <v>159</v>
      </c>
    </row>
  </sheetData>
  <autoFilter ref="A1:B8" xr:uid="{00000000-0009-0000-0000-000004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pane ySplit="1" topLeftCell="A2" activePane="bottomLeft" state="frozen"/>
      <selection pane="bottomLeft" activeCell="B7" sqref="B7"/>
    </sheetView>
  </sheetViews>
  <sheetFormatPr defaultRowHeight="14.6" x14ac:dyDescent="0.4"/>
  <cols>
    <col min="1" max="1" width="12" customWidth="1"/>
    <col min="2" max="2" width="90" customWidth="1"/>
  </cols>
  <sheetData>
    <row r="1" spans="1:2" x14ac:dyDescent="0.4">
      <c r="A1" s="1" t="s">
        <v>146</v>
      </c>
      <c r="B1" s="1" t="s">
        <v>147</v>
      </c>
    </row>
    <row r="2" spans="1:2" x14ac:dyDescent="0.4">
      <c r="A2" t="s">
        <v>162</v>
      </c>
      <c r="B2" t="s">
        <v>163</v>
      </c>
    </row>
    <row r="3" spans="1:2" x14ac:dyDescent="0.4">
      <c r="A3" t="s">
        <v>162</v>
      </c>
      <c r="B3" t="s">
        <v>164</v>
      </c>
    </row>
    <row r="4" spans="1:2" x14ac:dyDescent="0.4">
      <c r="A4" t="s">
        <v>162</v>
      </c>
      <c r="B4" t="s">
        <v>165</v>
      </c>
    </row>
    <row r="5" spans="1:2" x14ac:dyDescent="0.4">
      <c r="A5" t="s">
        <v>162</v>
      </c>
      <c r="B5" t="s">
        <v>166</v>
      </c>
    </row>
    <row r="6" spans="1:2" x14ac:dyDescent="0.4">
      <c r="A6" t="s">
        <v>167</v>
      </c>
      <c r="B6" t="s">
        <v>168</v>
      </c>
    </row>
    <row r="7" spans="1:2" ht="15" customHeight="1" x14ac:dyDescent="0.4">
      <c r="B7" s="4"/>
    </row>
    <row r="8" spans="1:2" x14ac:dyDescent="0.4">
      <c r="A8" t="s">
        <v>169</v>
      </c>
      <c r="B8" t="s">
        <v>170</v>
      </c>
    </row>
    <row r="9" spans="1:2" x14ac:dyDescent="0.4">
      <c r="A9" t="s">
        <v>169</v>
      </c>
      <c r="B9" t="s">
        <v>171</v>
      </c>
    </row>
    <row r="10" spans="1:2" x14ac:dyDescent="0.4">
      <c r="A10" t="s">
        <v>169</v>
      </c>
      <c r="B10" t="s">
        <v>172</v>
      </c>
    </row>
  </sheetData>
  <autoFilter ref="A1:B6" xr:uid="{00000000-0009-0000-0000-000005000000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.6" x14ac:dyDescent="0.4"/>
  <sheetData>
    <row r="1" spans="1:3" x14ac:dyDescent="0.4">
      <c r="A1" t="s">
        <v>173</v>
      </c>
      <c r="B1" t="s">
        <v>169</v>
      </c>
      <c r="C1" t="s">
        <v>169</v>
      </c>
    </row>
    <row r="2" spans="1:3" x14ac:dyDescent="0.4">
      <c r="A2" t="s">
        <v>169</v>
      </c>
      <c r="B2" t="s">
        <v>169</v>
      </c>
      <c r="C2" t="s">
        <v>169</v>
      </c>
    </row>
    <row r="3" spans="1:3" x14ac:dyDescent="0.4">
      <c r="A3" t="s">
        <v>169</v>
      </c>
      <c r="B3" t="s">
        <v>169</v>
      </c>
      <c r="C3" t="s">
        <v>169</v>
      </c>
    </row>
    <row r="4" spans="1:3" x14ac:dyDescent="0.4">
      <c r="A4" t="s">
        <v>169</v>
      </c>
      <c r="B4" t="s">
        <v>169</v>
      </c>
      <c r="C4" t="s">
        <v>169</v>
      </c>
    </row>
    <row r="5" spans="1:3" x14ac:dyDescent="0.4">
      <c r="A5" t="s">
        <v>169</v>
      </c>
      <c r="C5" t="s">
        <v>169</v>
      </c>
    </row>
    <row r="6" spans="1:3" x14ac:dyDescent="0.4">
      <c r="A6" t="s">
        <v>130</v>
      </c>
    </row>
    <row r="7" spans="1:3" x14ac:dyDescent="0.4">
      <c r="A7" t="s">
        <v>169</v>
      </c>
    </row>
    <row r="8" spans="1:3" x14ac:dyDescent="0.4">
      <c r="A8" t="s">
        <v>173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卡牌表</vt:lpstr>
      <vt:lpstr>流派统计</vt:lpstr>
      <vt:lpstr>稀有度统计</vt:lpstr>
      <vt:lpstr>种类统计</vt:lpstr>
      <vt:lpstr>关键词，能力与遗物</vt:lpstr>
      <vt:lpstr>说明</vt:lpstr>
      <vt:lpstr>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ZIHE GAO</cp:lastModifiedBy>
  <dcterms:created xsi:type="dcterms:W3CDTF">2026-04-27T08:22:56Z</dcterms:created>
  <dcterms:modified xsi:type="dcterms:W3CDTF">2026-04-27T08:46:08Z</dcterms:modified>
</cp:coreProperties>
</file>