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120" windowWidth="17383" windowHeight="10646" tabRatio="600" firstSheet="0" activeTab="0" autoFilterDateGrouping="1"/>
  </bookViews>
  <sheets>
    <sheet xmlns:r="http://schemas.openxmlformats.org/officeDocument/2006/relationships" name="卡牌表" sheetId="1" state="visible" r:id="rId1"/>
    <sheet xmlns:r="http://schemas.openxmlformats.org/officeDocument/2006/relationships" name="流派统计" sheetId="2" state="visible" r:id="rId2"/>
    <sheet xmlns:r="http://schemas.openxmlformats.org/officeDocument/2006/relationships" name="稀有度统计" sheetId="3" state="visible" r:id="rId3"/>
    <sheet xmlns:r="http://schemas.openxmlformats.org/officeDocument/2006/relationships" name="种类统计" sheetId="4" state="visible" r:id="rId4"/>
    <sheet xmlns:r="http://schemas.openxmlformats.org/officeDocument/2006/relationships" name="关键词，能力与遗物" sheetId="5" state="visible" r:id="rId5"/>
    <sheet xmlns:r="http://schemas.openxmlformats.org/officeDocument/2006/relationships" name="说明" sheetId="6" state="visible" r:id="rId6"/>
    <sheet xmlns:r="http://schemas.openxmlformats.org/officeDocument/2006/relationships" name="_options" sheetId="7" state="hidden" r:id="rId7"/>
  </sheets>
  <definedNames>
    <definedName name="FlowOptions">_options!$C$2:$C$5</definedName>
    <definedName name="KindOptions">_options!$B$2:$B$4</definedName>
    <definedName name="RarityOptions">_options!$A$2:$A$8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宋体"/>
      <charset val="64"/>
      <sz val="11"/>
    </font>
    <font>
      <name val="宋体"/>
      <charset val="134"/>
      <family val="3"/>
      <b val="1"/>
      <sz val="11"/>
    </font>
    <font>
      <name val="宋体"/>
      <charset val="134"/>
      <family val="3"/>
      <color rgb="FF000000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9"/>
    </font>
    <font>
      <name val="Microsoft YaHei UI"/>
      <charset val="134"/>
      <family val="2"/>
      <color rgb="FFD0D0D0"/>
      <sz val="9.800000000000001"/>
    </font>
  </fonts>
  <fills count="3">
    <fill>
      <patternFill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1" fontId="3" fillId="0" borderId="0" pivotButton="0" quotePrefix="0" xfId="0"/>
    <xf numFmtId="0" fontId="4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2" fontId="3" fillId="0" borderId="0" pivotButton="0" quotePrefix="0" xfId="0"/>
    <xf numFmtId="0" fontId="3" fillId="0" borderId="0" applyAlignment="1" pivotButton="0" quotePrefix="0" xfId="0">
      <alignment vertical="center"/>
    </xf>
    <xf numFmtId="0" fontId="1" fillId="2" borderId="0" pivotButton="0" quotePrefix="0" xfId="0"/>
    <xf numFmtId="0" fontId="0" fillId="0" borderId="0" pivotButton="0" quotePrefix="0" xfId="0"/>
    <xf numFmtId="0" fontId="6" fillId="0" borderId="0" applyAlignment="1" pivotButton="0" quotePrefix="0" xfId="0">
      <alignment vertical="center"/>
    </xf>
    <xf numFmtId="0" fontId="3" fillId="0" borderId="0" pivotButton="0" quotePrefix="0" xfId="0"/>
  </cellXfs>
  <cellStyles count="1">
    <cellStyle name="常规" xfId="0" builtinId="0"/>
  </cellStyles>
  <dxfs count="7">
    <dxf>
      <fill>
        <patternFill>
          <bgColor rgb="FFDBE5F1"/>
        </patternFill>
      </fill>
    </dxf>
    <dxf>
      <fill>
        <patternFill>
          <bgColor rgb="FFDBE5F1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thin">
          <color rgb="FF4F81BD"/>
        </top>
      </border>
    </dxf>
    <dxf>
      <font>
        <b val="1"/>
        <color rgb="FFFFFFFF"/>
      </font>
      <fill>
        <patternFill>
          <bgColor rgb="FF4F81BD"/>
        </patternFill>
      </fill>
    </dxf>
    <dxf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</dxfs>
  <tableStyles count="1" defaultTableStyle="TableStyleMedium2" defaultPivotStyle="PivotStyleLight6">
    <tableStyle name="tableStyle_UM1fRfqCo5AELEZ9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CardTable" displayName="CardTable" ref="A1:H93" headerRowCount="1">
  <autoFilter ref="A1:H93"/>
  <sortState ref="A2:H91">
    <sortCondition descending="1" ref="F1:F91"/>
  </sortState>
  <tableColumns count="8">
    <tableColumn id="1" name="名称"/>
    <tableColumn id="2" name="费用"/>
    <tableColumn id="3" name="稀有度"/>
    <tableColumn id="4" name="种类"/>
    <tableColumn id="5" name="效果"/>
    <tableColumn id="6" name="流派"/>
    <tableColumn id="7" name="备注"/>
    <tableColumn id="8" name="评分"/>
  </tableColumns>
  <tableStyleInfo name="tableStyle_UM1fRfqCo5AELEZ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3"/>
  <sheetViews>
    <sheetView tabSelected="1" workbookViewId="0">
      <pane ySplit="1" topLeftCell="A77" activePane="bottomLeft" state="frozen"/>
      <selection pane="bottomLeft" activeCell="F93" sqref="F93"/>
    </sheetView>
  </sheetViews>
  <sheetFormatPr baseColWidth="8" defaultRowHeight="14.15"/>
  <cols>
    <col width="20.15234375" customWidth="1" style="10" min="1" max="1"/>
    <col width="7.3046875" customWidth="1" style="10" min="2" max="2"/>
    <col width="9.3046875" customWidth="1" style="10" min="3" max="4"/>
    <col width="110.69140625" customWidth="1" style="10" min="5" max="5"/>
    <col width="9.3046875" customWidth="1" style="10" min="6" max="6"/>
    <col width="29.3046875" customWidth="1" style="10" min="7" max="7"/>
    <col width="9.3046875" customWidth="1" style="10" min="8" max="8"/>
    <col width="8" customWidth="1" style="10" min="9" max="18"/>
  </cols>
  <sheetData>
    <row r="1" ht="14.15" customHeight="1" s="10">
      <c r="A1" s="1" t="inlineStr">
        <is>
          <t>名称</t>
        </is>
      </c>
      <c r="B1" s="1" t="inlineStr">
        <is>
          <t>费用</t>
        </is>
      </c>
      <c r="C1" s="1" t="inlineStr">
        <is>
          <t>稀有度</t>
        </is>
      </c>
      <c r="D1" s="1" t="inlineStr">
        <is>
          <t>种类</t>
        </is>
      </c>
      <c r="E1" s="1" t="inlineStr">
        <is>
          <t>效果</t>
        </is>
      </c>
      <c r="F1" s="1" t="inlineStr">
        <is>
          <t>流派</t>
        </is>
      </c>
      <c r="G1" s="1" t="inlineStr">
        <is>
          <t>备注</t>
        </is>
      </c>
      <c r="H1" s="1" t="inlineStr">
        <is>
          <t>评分</t>
        </is>
      </c>
    </row>
    <row r="2" ht="14.15" customHeight="1" s="10">
      <c r="A2" s="4" t="inlineStr">
        <is>
          <t>月影（Token）</t>
        </is>
      </c>
      <c r="B2" s="3" t="n">
        <v>0</v>
      </c>
      <c r="C2" s="4" t="inlineStr">
        <is>
          <t>Token</t>
        </is>
      </c>
      <c r="D2" s="4" t="inlineStr">
        <is>
          <t>攻击</t>
        </is>
      </c>
      <c r="E2" s="5" t="inlineStr">
        <is>
          <t>造成5点伤害；其他攻击命中时伤害+1/2（当前造成x点伤害）；保留；消耗。</t>
        </is>
      </c>
      <c r="F2" s="4" t="inlineStr">
        <is>
          <t>月影</t>
        </is>
      </c>
      <c r="G2" s="6" t="n"/>
      <c r="H2" s="7" t="n"/>
    </row>
    <row r="3" ht="14.15" customHeight="1" s="10">
      <c r="A3" s="2" t="inlineStr">
        <is>
          <t>盈月</t>
        </is>
      </c>
      <c r="B3" s="3" t="n">
        <v>1</v>
      </c>
      <c r="C3" s="4" t="inlineStr">
        <is>
          <t>罕见</t>
        </is>
      </c>
      <c r="D3" s="4" t="inlineStr">
        <is>
          <t>能力</t>
        </is>
      </c>
      <c r="E3" s="5" t="inlineStr">
        <is>
          <t>回合结束时手中月影伤害增加5/7。</t>
        </is>
      </c>
      <c r="F3" s="4" t="inlineStr">
        <is>
          <t>月影</t>
        </is>
      </c>
      <c r="G3" s="6" t="n"/>
      <c r="H3" s="7" t="n"/>
    </row>
    <row r="4" ht="28.3" customHeight="1" s="10">
      <c r="A4" s="2" t="inlineStr">
        <is>
          <t>满月</t>
        </is>
      </c>
      <c r="B4" s="3" t="n">
        <v>1</v>
      </c>
      <c r="C4" s="4" t="inlineStr">
        <is>
          <t>罕见</t>
        </is>
      </c>
      <c r="D4" s="4" t="inlineStr">
        <is>
          <t>能力</t>
        </is>
      </c>
      <c r="E4" s="5" t="inlineStr">
        <is>
          <t>使用卡牌时月影伤害+1。（升级后0费）</t>
        </is>
      </c>
      <c r="F4" s="4" t="inlineStr">
        <is>
          <t>月影</t>
        </is>
      </c>
      <c r="G4" s="6" t="n"/>
      <c r="H4" s="7" t="n"/>
    </row>
    <row r="5" ht="28.3" customHeight="1" s="10">
      <c r="A5" s="2" t="inlineStr">
        <is>
          <t>朔月</t>
        </is>
      </c>
      <c r="B5" s="3" t="n">
        <v>1</v>
      </c>
      <c r="C5" s="4" t="inlineStr">
        <is>
          <t>罕见</t>
        </is>
      </c>
      <c r="D5" s="4" t="inlineStr">
        <is>
          <t>能力</t>
        </is>
      </c>
      <c r="E5" s="5" t="inlineStr">
        <is>
          <t>回合开始时如果没有月影则凝聚1。（固有）</t>
        </is>
      </c>
      <c r="F5" s="4" t="inlineStr">
        <is>
          <t>月影</t>
        </is>
      </c>
      <c r="G5" s="6" t="n"/>
      <c r="H5" s="7" t="n"/>
    </row>
    <row r="6" ht="14.15" customHeight="1" s="10">
      <c r="A6" s="2" t="inlineStr">
        <is>
          <t>血月</t>
        </is>
      </c>
      <c r="B6" s="3" t="n">
        <v>1</v>
      </c>
      <c r="C6" s="4" t="inlineStr">
        <is>
          <t>罕见</t>
        </is>
      </c>
      <c r="D6" s="4" t="inlineStr">
        <is>
          <t>能力</t>
        </is>
      </c>
      <c r="E6" s="5" t="inlineStr">
        <is>
          <t>黑云姿态下使用卡牌，月影伤害+2/3。</t>
        </is>
      </c>
      <c r="F6" s="4" t="inlineStr">
        <is>
          <t>月影</t>
        </is>
      </c>
      <c r="G6" s="6" t="n"/>
      <c r="H6" s="7" t="n"/>
    </row>
    <row r="7" ht="28.3" customHeight="1" s="10">
      <c r="A7" s="2" t="inlineStr">
        <is>
          <t>蓝月</t>
        </is>
      </c>
      <c r="B7" s="3" t="n">
        <v>1</v>
      </c>
      <c r="C7" s="4" t="inlineStr">
        <is>
          <t>罕见</t>
        </is>
      </c>
      <c r="D7" s="4" t="inlineStr">
        <is>
          <t>能力</t>
        </is>
      </c>
      <c r="E7" s="5" t="inlineStr">
        <is>
          <t>灵感触发时月影伤害+2/3。</t>
        </is>
      </c>
      <c r="F7" s="4" t="inlineStr">
        <is>
          <t>月影</t>
        </is>
      </c>
      <c r="G7" s="6" t="n"/>
      <c r="H7" s="7" t="n"/>
    </row>
    <row r="8" ht="14.15" customHeight="1" s="10">
      <c r="A8" s="2" t="inlineStr">
        <is>
          <t>映月</t>
        </is>
      </c>
      <c r="B8" s="3" t="n">
        <v>1</v>
      </c>
      <c r="C8" s="4" t="inlineStr">
        <is>
          <t>罕见</t>
        </is>
      </c>
      <c r="D8" s="4" t="inlineStr">
        <is>
          <t>技能</t>
        </is>
      </c>
      <c r="E8" s="5" t="inlineStr">
        <is>
          <t>下次打出月影时，生成一张相同的复制。消耗（不消耗）</t>
        </is>
      </c>
      <c r="F8" s="4" t="inlineStr">
        <is>
          <t>月影</t>
        </is>
      </c>
      <c r="G8" s="6" t="n"/>
      <c r="H8" s="7" t="n"/>
    </row>
    <row r="9" ht="28.3" customHeight="1" s="10">
      <c r="A9" s="2" t="inlineStr">
        <is>
          <t>暗月</t>
        </is>
      </c>
      <c r="B9" s="3" t="n">
        <v>1</v>
      </c>
      <c r="C9" s="4" t="inlineStr">
        <is>
          <t>罕见</t>
        </is>
      </c>
      <c r="D9" s="8" t="inlineStr">
        <is>
          <t>技能</t>
        </is>
      </c>
      <c r="E9" s="5" t="inlineStr">
        <is>
          <t>手中的月影获得:黑云：伤害增加50%。消耗（不消耗）</t>
        </is>
      </c>
      <c r="F9" s="4" t="inlineStr">
        <is>
          <t>月影</t>
        </is>
      </c>
      <c r="G9" s="6" t="inlineStr">
        <is>
          <t>（不叠加</t>
        </is>
      </c>
      <c r="H9" s="7" t="n"/>
    </row>
    <row r="10" ht="14.15" customHeight="1" s="10">
      <c r="A10" s="2" t="inlineStr">
        <is>
          <t>月光</t>
        </is>
      </c>
      <c r="B10" s="3" t="n">
        <v>1</v>
      </c>
      <c r="C10" s="4" t="inlineStr">
        <is>
          <t>通常</t>
        </is>
      </c>
      <c r="D10" s="4" t="inlineStr">
        <is>
          <t>技能</t>
        </is>
      </c>
      <c r="E10" s="5" t="inlineStr">
        <is>
          <t>凝聚1，月影伤害增加5/8点。</t>
        </is>
      </c>
      <c r="F10" s="4" t="inlineStr">
        <is>
          <t>月影</t>
        </is>
      </c>
      <c r="G10" s="6" t="n"/>
      <c r="H10" s="7" t="n">
        <v>1.125</v>
      </c>
    </row>
    <row r="11" ht="14.15" customHeight="1" s="10">
      <c r="A11" s="2" t="n"/>
      <c r="B11" s="3" t="n"/>
      <c r="C11" s="4" t="n"/>
      <c r="D11" s="4" t="n"/>
      <c r="E11" s="5" t="n"/>
      <c r="F11" s="4" t="n"/>
      <c r="G11" s="6" t="n"/>
      <c r="H11" s="7" t="n">
        <v>0.9204545454545454</v>
      </c>
    </row>
    <row r="12" ht="28.3" customHeight="1" s="10">
      <c r="A12" s="4" t="inlineStr">
        <is>
          <t>月</t>
        </is>
      </c>
      <c r="B12" s="3" t="n">
        <v>1</v>
      </c>
      <c r="C12" s="4" t="inlineStr">
        <is>
          <t>通常</t>
        </is>
      </c>
      <c r="D12" s="4" t="inlineStr">
        <is>
          <t>攻击</t>
        </is>
      </c>
      <c r="E12" s="5" t="inlineStr">
        <is>
          <t>造成6/9点伤害，获得月，月影获得2点伤害</t>
        </is>
      </c>
      <c r="F12" s="4" t="inlineStr">
        <is>
          <t>月影</t>
        </is>
      </c>
      <c r="G12" s="6" t="n"/>
      <c r="H12" s="7" t="n">
        <v>0.7954545454545454</v>
      </c>
    </row>
    <row r="13" ht="28.3" customHeight="1" s="10">
      <c r="A13" s="4" t="inlineStr">
        <is>
          <t>影月</t>
        </is>
      </c>
      <c r="B13" s="3" t="n">
        <v>0</v>
      </c>
      <c r="C13" s="4" t="inlineStr">
        <is>
          <t>稀有</t>
        </is>
      </c>
      <c r="D13" s="4" t="inlineStr">
        <is>
          <t>攻击</t>
        </is>
      </c>
      <c r="E13" s="6" t="inlineStr">
        <is>
          <t>造成5/10点伤害，这张卡被视为月影；保留；消耗。</t>
        </is>
      </c>
      <c r="F13" s="4" t="inlineStr">
        <is>
          <t>月影</t>
        </is>
      </c>
      <c r="G13" s="6" t="n"/>
      <c r="H13" s="7" t="n">
        <v>0.4545454545454545</v>
      </c>
    </row>
    <row r="14" ht="14.15" customHeight="1" s="10">
      <c r="A14" s="2" t="inlineStr">
        <is>
          <t>上弦之月</t>
        </is>
      </c>
      <c r="B14" s="3" t="n">
        <v>1</v>
      </c>
      <c r="C14" s="4" t="inlineStr">
        <is>
          <t>稀有</t>
        </is>
      </c>
      <c r="D14" s="4" t="inlineStr">
        <is>
          <t>能力</t>
        </is>
      </c>
      <c r="E14" s="5" t="inlineStr">
        <is>
          <t>当释放月影的伤害超过99/66时获得一张居合</t>
        </is>
      </c>
      <c r="F14" s="4" t="inlineStr">
        <is>
          <t>月影</t>
        </is>
      </c>
      <c r="G14" s="6" t="n"/>
      <c r="H14" s="7" t="n"/>
    </row>
    <row r="15" ht="14.15" customHeight="1" s="10">
      <c r="A15" s="2" t="inlineStr">
        <is>
          <t>残月</t>
        </is>
      </c>
      <c r="B15" s="3" t="n">
        <v>1</v>
      </c>
      <c r="C15" s="4" t="inlineStr">
        <is>
          <t>稀有</t>
        </is>
      </c>
      <c r="D15" s="4" t="inlineStr">
        <is>
          <t>技能</t>
        </is>
      </c>
      <c r="E15" s="5" t="inlineStr">
        <is>
          <t>凝聚1，手中月影-1费；消耗。（升级后0费）</t>
        </is>
      </c>
      <c r="F15" s="4" t="inlineStr">
        <is>
          <t>月影</t>
        </is>
      </c>
      <c r="G15" s="6" t="n"/>
      <c r="H15" s="7" t="n">
        <v>0.5</v>
      </c>
    </row>
    <row r="16" ht="28.3" customHeight="1" s="10">
      <c r="A16" s="4" t="inlineStr">
        <is>
          <t>居合</t>
        </is>
      </c>
      <c r="B16" s="3" t="n">
        <v>0</v>
      </c>
      <c r="C16" s="4" t="inlineStr">
        <is>
          <t>Token</t>
        </is>
      </c>
      <c r="D16" s="4" t="inlineStr">
        <is>
          <t>攻击</t>
        </is>
      </c>
      <c r="E16" s="5" t="inlineStr">
        <is>
          <t>对所有敌人造成33/66点+10%当前生命值的伤害，在回合结束时造成33/66+10%已损失生命值的伤害，消耗</t>
        </is>
      </c>
      <c r="F16" s="4" t="inlineStr">
        <is>
          <t>其他</t>
        </is>
      </c>
      <c r="G16" s="6" t="n"/>
      <c r="H16" s="7" t="n"/>
    </row>
    <row r="17" ht="28.3" customHeight="1" s="10">
      <c r="A17" s="2" t="inlineStr">
        <is>
          <t>红尘</t>
        </is>
      </c>
      <c r="B17" s="3" t="n">
        <v>0</v>
      </c>
      <c r="C17" s="4" t="inlineStr">
        <is>
          <t>罕见</t>
        </is>
      </c>
      <c r="D17" s="4" t="inlineStr">
        <is>
          <t>技能</t>
        </is>
      </c>
      <c r="E17" s="5" t="inlineStr">
        <is>
          <t>获得1费，抽2/3张牌，本回合不能再抽牌。</t>
        </is>
      </c>
      <c r="F17" s="4" t="inlineStr">
        <is>
          <t>其他</t>
        </is>
      </c>
      <c r="G17" s="6" t="n"/>
      <c r="H17" s="7" t="n">
        <v>1.3</v>
      </c>
    </row>
    <row r="18" ht="28.3" customHeight="1" s="10">
      <c r="A18" s="2" t="inlineStr">
        <is>
          <t>背水</t>
        </is>
      </c>
      <c r="B18" s="3" t="n">
        <v>0</v>
      </c>
      <c r="C18" s="4" t="inlineStr">
        <is>
          <t>罕见</t>
        </is>
      </c>
      <c r="D18" s="4" t="inlineStr">
        <is>
          <t>技能</t>
        </is>
      </c>
      <c r="E18" s="6" t="inlineStr">
        <is>
          <t>获得2/3费，本回合不能抽牌。</t>
        </is>
      </c>
      <c r="F18" s="4" t="inlineStr">
        <is>
          <t>其他</t>
        </is>
      </c>
      <c r="G18" s="6" t="n"/>
      <c r="H18" s="7" t="n">
        <v>1</v>
      </c>
    </row>
    <row r="19" ht="14.15" customHeight="1" s="10">
      <c r="A19" s="4" t="inlineStr">
        <is>
          <t>踏前斩</t>
        </is>
      </c>
      <c r="B19" s="3" t="n">
        <v>0</v>
      </c>
      <c r="C19" s="4" t="inlineStr">
        <is>
          <t>罕见</t>
        </is>
      </c>
      <c r="D19" s="4" t="inlineStr">
        <is>
          <t>攻击</t>
        </is>
      </c>
      <c r="E19" s="6" t="inlineStr">
        <is>
          <t>造成2/4点伤害，对这回合没被踏前斩命中的敌人释放时返回手牌</t>
        </is>
      </c>
      <c r="F19" s="4" t="inlineStr">
        <is>
          <t>其他</t>
        </is>
      </c>
      <c r="G19" s="6" t="n"/>
      <c r="H19" s="7" t="n"/>
    </row>
    <row r="20" ht="14.15" customHeight="1" s="10">
      <c r="A20" s="4" t="inlineStr">
        <is>
          <t>黄昏的羁绊</t>
        </is>
      </c>
      <c r="B20" s="3" t="n">
        <v>1</v>
      </c>
      <c r="C20" s="4" t="inlineStr">
        <is>
          <t>罕见</t>
        </is>
      </c>
      <c r="D20" s="4" t="inlineStr">
        <is>
          <t>能力</t>
        </is>
      </c>
      <c r="E20" s="6" t="inlineStr">
        <is>
          <t>固有，不能额外获得费用；回合开始时随机两张卡下次使用前费用减少1。</t>
        </is>
      </c>
      <c r="F20" s="4" t="inlineStr">
        <is>
          <t>其他</t>
        </is>
      </c>
      <c r="G20" s="6" t="inlineStr">
        <is>
          <t>基础费用按 1 记录；升级后 0 费。</t>
        </is>
      </c>
      <c r="H20" s="7" t="n"/>
    </row>
    <row r="21" ht="28.3" customHeight="1" s="10">
      <c r="A21" s="4" t="inlineStr">
        <is>
          <t>怒涛斩</t>
        </is>
      </c>
      <c r="B21" s="3" t="n">
        <v>1</v>
      </c>
      <c r="C21" s="4" t="inlineStr">
        <is>
          <t>罕见</t>
        </is>
      </c>
      <c r="D21" s="4" t="inlineStr">
        <is>
          <t>能力</t>
        </is>
      </c>
      <c r="E21" s="5" t="inlineStr">
        <is>
          <t>一回合内打出4/3张攻击牌时抽一张牌</t>
        </is>
      </c>
      <c r="F21" s="4" t="inlineStr">
        <is>
          <t>其他</t>
        </is>
      </c>
      <c r="G21" s="6" t="n"/>
      <c r="H21" s="7" t="n"/>
    </row>
    <row r="22" ht="14.15" customHeight="1" s="10">
      <c r="A22" s="4" t="inlineStr">
        <is>
          <t>起手式</t>
        </is>
      </c>
      <c r="B22" s="3" t="n">
        <v>1</v>
      </c>
      <c r="C22" s="4" t="inlineStr">
        <is>
          <t>罕见</t>
        </is>
      </c>
      <c r="D22" s="4" t="inlineStr">
        <is>
          <t>技能</t>
        </is>
      </c>
      <c r="E22" s="6" t="inlineStr">
        <is>
          <t>这回合你每打出1张技能牌，下回合内获得1点力量（保留）</t>
        </is>
      </c>
      <c r="F22" s="4" t="inlineStr">
        <is>
          <t>其他</t>
        </is>
      </c>
      <c r="G22" s="6" t="n"/>
      <c r="H22" s="7" t="n"/>
    </row>
    <row r="23" ht="28.3" customHeight="1" s="10">
      <c r="A23" s="2" t="inlineStr">
        <is>
          <t>看破</t>
        </is>
      </c>
      <c r="B23" s="3" t="n">
        <v>1</v>
      </c>
      <c r="C23" s="4" t="inlineStr">
        <is>
          <t>罕见</t>
        </is>
      </c>
      <c r="D23" s="4" t="inlineStr">
        <is>
          <t>攻击</t>
        </is>
      </c>
      <c r="E23" s="5" t="inlineStr">
        <is>
          <t>造成6/9点伤害，从抽牌堆把一张牌放入手中。</t>
        </is>
      </c>
      <c r="F23" s="4" t="inlineStr">
        <is>
          <t>其他</t>
        </is>
      </c>
      <c r="G23" s="6" t="n"/>
      <c r="H23" s="7" t="n"/>
    </row>
    <row r="24" ht="14.15" customHeight="1" s="10">
      <c r="A24" s="2" t="inlineStr">
        <is>
          <t>幻变斩</t>
        </is>
      </c>
      <c r="B24" s="3" t="n">
        <v>1</v>
      </c>
      <c r="C24" s="4" t="inlineStr">
        <is>
          <t>罕见</t>
        </is>
      </c>
      <c r="D24" s="4" t="inlineStr">
        <is>
          <t>攻击</t>
        </is>
      </c>
      <c r="E24" s="5" t="inlineStr">
        <is>
          <t>造成3点伤害2/3次，消耗1张手牌，抽1张牌。</t>
        </is>
      </c>
      <c r="F24" s="4" t="inlineStr">
        <is>
          <t>其他</t>
        </is>
      </c>
      <c r="G24" s="6" t="n"/>
      <c r="H24" s="7" t="n"/>
    </row>
    <row r="25" ht="14.15" customHeight="1" s="10">
      <c r="A25" s="4" t="inlineStr">
        <is>
          <t>斩钢闪</t>
        </is>
      </c>
      <c r="B25" s="3" t="n">
        <v>1</v>
      </c>
      <c r="C25" s="4" t="inlineStr">
        <is>
          <t>罕见</t>
        </is>
      </c>
      <c r="D25" s="4" t="inlineStr">
        <is>
          <t>攻击</t>
        </is>
      </c>
      <c r="E25" s="6" t="inlineStr">
        <is>
          <t>造成9/12点伤害，连续3回合打出斩钢闪，将一张居合加入手牌</t>
        </is>
      </c>
      <c r="F25" s="4" t="inlineStr">
        <is>
          <t>其他</t>
        </is>
      </c>
      <c r="G25" s="6" t="n"/>
      <c r="H25" s="7" t="n">
        <v>0.9610389610389612</v>
      </c>
    </row>
    <row r="26" ht="14.15" customHeight="1" s="10">
      <c r="A26" s="4" t="inlineStr">
        <is>
          <t>剑舞</t>
        </is>
      </c>
      <c r="B26" s="3" t="n">
        <v>2</v>
      </c>
      <c r="C26" s="4" t="inlineStr">
        <is>
          <t>罕见</t>
        </is>
      </c>
      <c r="D26" s="4" t="inlineStr">
        <is>
          <t>攻击</t>
        </is>
      </c>
      <c r="E26" s="6" t="inlineStr">
        <is>
          <t>造成7/9点伤害，本回合每抽1张牌额外攻击一次（目前增加0）。</t>
        </is>
      </c>
      <c r="F26" s="4" t="inlineStr">
        <is>
          <t>其他</t>
        </is>
      </c>
      <c r="G26" s="6" t="n"/>
      <c r="H26" s="7" t="n"/>
    </row>
    <row r="27" ht="14.15" customHeight="1" s="10">
      <c r="A27" s="4" t="inlineStr">
        <is>
          <t>剑心</t>
        </is>
      </c>
      <c r="B27" s="3" t="n">
        <v>0</v>
      </c>
      <c r="C27" s="4" t="inlineStr">
        <is>
          <t>通常</t>
        </is>
      </c>
      <c r="D27" s="4" t="inlineStr">
        <is>
          <t>技能</t>
        </is>
      </c>
      <c r="E27" s="6" t="inlineStr">
        <is>
          <t>抽1（保留）。</t>
        </is>
      </c>
      <c r="F27" s="4" t="inlineStr">
        <is>
          <t>其他</t>
        </is>
      </c>
      <c r="G27" s="6" t="n"/>
      <c r="H27" s="7" t="n">
        <v>0.4</v>
      </c>
    </row>
    <row r="28" ht="14.15" customHeight="1" s="10">
      <c r="A28" s="4" t="inlineStr">
        <is>
          <t>人格切换</t>
        </is>
      </c>
      <c r="B28" s="4" t="n">
        <v>0</v>
      </c>
      <c r="C28" s="4" t="inlineStr">
        <is>
          <t>通常</t>
        </is>
      </c>
      <c r="D28" s="4" t="inlineStr">
        <is>
          <t>技能</t>
        </is>
      </c>
      <c r="E28" s="8" t="inlineStr">
        <is>
          <t>将2/1张卡放回抽牌堆并抽2张牌</t>
        </is>
      </c>
      <c r="F28" s="4" t="inlineStr">
        <is>
          <t>其他</t>
        </is>
      </c>
      <c r="G28" s="6" t="n"/>
      <c r="H28" s="7" t="n"/>
    </row>
    <row r="29" ht="14.15" customHeight="1" s="10">
      <c r="A29" s="4" t="inlineStr">
        <is>
          <t>人剑合一</t>
        </is>
      </c>
      <c r="B29" s="3" t="n">
        <v>1</v>
      </c>
      <c r="C29" s="4" t="inlineStr">
        <is>
          <t>通常</t>
        </is>
      </c>
      <c r="D29" s="4" t="inlineStr">
        <is>
          <t>技能</t>
        </is>
      </c>
      <c r="E29" s="6" t="inlineStr">
        <is>
          <t>获得8/11格挡，下两个回合开始时抽1。</t>
        </is>
      </c>
      <c r="F29" s="4" t="inlineStr">
        <is>
          <t>其他</t>
        </is>
      </c>
      <c r="G29" s="6" t="n"/>
      <c r="H29" s="7" t="n">
        <v>1.422222222222222</v>
      </c>
    </row>
    <row r="30" ht="28.3" customHeight="1" s="10">
      <c r="A30" s="4" t="inlineStr">
        <is>
          <t>回念</t>
        </is>
      </c>
      <c r="B30" s="3" t="n">
        <v>1</v>
      </c>
      <c r="C30" s="4" t="inlineStr">
        <is>
          <t>通常</t>
        </is>
      </c>
      <c r="D30" s="4" t="inlineStr">
        <is>
          <t>技能</t>
        </is>
      </c>
      <c r="E30" s="6" t="inlineStr">
        <is>
          <t>获得7/10格挡，从弃牌堆把一张牌放在抽牌堆顶部。</t>
        </is>
      </c>
      <c r="F30" s="4" t="inlineStr">
        <is>
          <t>其他</t>
        </is>
      </c>
      <c r="G30" s="6" t="n"/>
      <c r="H30" s="7" t="n">
        <v>0.7777777777777778</v>
      </c>
    </row>
    <row r="31" ht="14.15" customHeight="1" s="10">
      <c r="A31" s="2" t="inlineStr">
        <is>
          <t>未雨绸缪</t>
        </is>
      </c>
      <c r="B31" s="3" t="n">
        <v>1</v>
      </c>
      <c r="C31" s="4" t="inlineStr">
        <is>
          <t>通常</t>
        </is>
      </c>
      <c r="D31" s="4" t="inlineStr">
        <is>
          <t>技能</t>
        </is>
      </c>
      <c r="E31" s="5" t="inlineStr">
        <is>
          <t>获得5/8甲，抽2张牌，先把一张手牌放回抽牌堆底部。</t>
        </is>
      </c>
      <c r="F31" s="4" t="inlineStr">
        <is>
          <t>其他</t>
        </is>
      </c>
      <c r="G31" s="6" t="n"/>
      <c r="H31" s="7" t="n">
        <v>1.355555555555556</v>
      </c>
    </row>
    <row r="32" ht="14.15" customHeight="1" s="10">
      <c r="A32" s="2" t="inlineStr">
        <is>
          <t>一式</t>
        </is>
      </c>
      <c r="B32" s="3" t="n">
        <v>1</v>
      </c>
      <c r="C32" s="4" t="inlineStr">
        <is>
          <t>通常</t>
        </is>
      </c>
      <c r="D32" s="4" t="inlineStr">
        <is>
          <t>攻击</t>
        </is>
      </c>
      <c r="E32" s="5" t="inlineStr">
        <is>
          <t>造成6/9点伤害 你的下一张攻击牌减少1费</t>
        </is>
      </c>
      <c r="F32" s="4" t="inlineStr">
        <is>
          <t>其他</t>
        </is>
      </c>
      <c r="G32" s="6" t="n"/>
      <c r="H32" s="7" t="n">
        <v>0.5454545454545454</v>
      </c>
    </row>
    <row r="33" ht="14.15" customHeight="1" s="10">
      <c r="A33" s="4" t="inlineStr">
        <is>
          <t>彼岸花</t>
        </is>
      </c>
      <c r="B33" s="3" t="n">
        <v>1</v>
      </c>
      <c r="C33" s="4" t="inlineStr">
        <is>
          <t>通常</t>
        </is>
      </c>
      <c r="D33" s="4" t="inlineStr">
        <is>
          <t>攻击</t>
        </is>
      </c>
      <c r="E33" s="5" t="inlineStr">
        <is>
          <t>造成6/9点伤害，下两回合开始时造成6/9点伤害</t>
        </is>
      </c>
      <c r="F33" s="4" t="inlineStr">
        <is>
          <t>其他</t>
        </is>
      </c>
      <c r="G33" s="6" t="n"/>
      <c r="H33" s="7" t="n">
        <v>1.272727272727272</v>
      </c>
    </row>
    <row r="34" ht="14.15" customHeight="1" s="10">
      <c r="A34" s="8" t="inlineStr">
        <is>
          <t>刀鞘打击</t>
        </is>
      </c>
      <c r="B34" s="3" t="n">
        <v>1</v>
      </c>
      <c r="C34" s="4" t="inlineStr">
        <is>
          <t>通常</t>
        </is>
      </c>
      <c r="D34" s="4" t="inlineStr">
        <is>
          <t>攻击</t>
        </is>
      </c>
      <c r="E34" s="6" t="inlineStr">
        <is>
          <t>造成8/11点伤害，下回合获得1费</t>
        </is>
      </c>
      <c r="F34" s="4" t="inlineStr">
        <is>
          <t>其他</t>
        </is>
      </c>
      <c r="G34" s="6" t="inlineStr">
        <is>
          <t>（拥有打击tag）</t>
        </is>
      </c>
      <c r="H34" s="7" t="n">
        <v>1.060606060606061</v>
      </c>
    </row>
    <row r="35" ht="14.15" customHeight="1" s="10">
      <c r="A35" s="4" t="inlineStr">
        <is>
          <t>轮回斩</t>
        </is>
      </c>
      <c r="B35" s="3" t="n">
        <v>3</v>
      </c>
      <c r="C35" s="4" t="inlineStr">
        <is>
          <t>通常</t>
        </is>
      </c>
      <c r="D35" s="4" t="inlineStr">
        <is>
          <t>攻击</t>
        </is>
      </c>
      <c r="E35" s="6" t="inlineStr">
        <is>
          <t>造成5点伤害3/4次，每次抽到时费用-1。</t>
        </is>
      </c>
      <c r="F35" s="4" t="inlineStr">
        <is>
          <t>其他</t>
        </is>
      </c>
      <c r="G35" s="6" t="n"/>
      <c r="H35" s="7" t="n"/>
    </row>
    <row r="36" ht="14.15" customHeight="1" s="10">
      <c r="A36" s="4" t="inlineStr">
        <is>
          <t>满溢</t>
        </is>
      </c>
      <c r="B36" s="3" t="n">
        <v>1</v>
      </c>
      <c r="C36" s="4" t="inlineStr">
        <is>
          <t>稀有</t>
        </is>
      </c>
      <c r="D36" s="4" t="inlineStr">
        <is>
          <t>能力</t>
        </is>
      </c>
      <c r="E36" s="5" t="inlineStr">
        <is>
          <t>每回合第一次抽满手牌时获得2费。(升级后0费)</t>
        </is>
      </c>
      <c r="F36" s="4" t="inlineStr">
        <is>
          <t>其他</t>
        </is>
      </c>
      <c r="G36" s="6" t="n"/>
      <c r="H36" s="7" t="n"/>
    </row>
    <row r="37" ht="14.15" customHeight="1" s="10">
      <c r="A37" s="4" t="inlineStr">
        <is>
          <t>振刀</t>
        </is>
      </c>
      <c r="B37" s="3" t="n">
        <v>1</v>
      </c>
      <c r="C37" s="4" t="inlineStr">
        <is>
          <t>稀有</t>
        </is>
      </c>
      <c r="D37" s="4" t="inlineStr">
        <is>
          <t>能力</t>
        </is>
      </c>
      <c r="E37" s="6" t="inlineStr">
        <is>
          <t>每花费4/3费抽1张牌。</t>
        </is>
      </c>
      <c r="F37" s="4" t="inlineStr">
        <is>
          <t>其他</t>
        </is>
      </c>
      <c r="G37" s="6" t="n"/>
      <c r="H37" s="7" t="n"/>
    </row>
    <row r="38" ht="28.3" customHeight="1" s="10">
      <c r="A38" s="4" t="inlineStr">
        <is>
          <t xml:space="preserve">一击必杀！居合抽卡 </t>
        </is>
      </c>
      <c r="B38" s="3" t="inlineStr">
        <is>
          <t>0</t>
        </is>
      </c>
      <c r="C38" s="4" t="inlineStr">
        <is>
          <t>稀有</t>
        </is>
      </c>
      <c r="D38" s="4" t="inlineStr">
        <is>
          <t>技能</t>
        </is>
      </c>
      <c r="E38" s="6" t="inlineStr">
        <is>
          <t>??1???????1??????????????????????1???/??+</t>
        </is>
      </c>
      <c r="F38" s="4" t="inlineStr">
        <is>
          <t>其他</t>
        </is>
      </c>
      <c r="G38" s="6" t="n"/>
      <c r="H38" s="7" t="n">
        <v>0.5428571428571429</v>
      </c>
    </row>
    <row r="39" ht="14.15" customHeight="1" s="10">
      <c r="A39" s="4" t="inlineStr">
        <is>
          <t>招架</t>
        </is>
      </c>
      <c r="B39" s="3" t="n">
        <v>1</v>
      </c>
      <c r="C39" s="4" t="inlineStr">
        <is>
          <t>稀有</t>
        </is>
      </c>
      <c r="D39" s="4" t="inlineStr">
        <is>
          <t>技能</t>
        </is>
      </c>
      <c r="E39" s="6" t="inlineStr">
        <is>
          <t>获得8/11点防御，如果刚好抵挡全部伤害，下回合开始时获得一张居合</t>
        </is>
      </c>
      <c r="F39" s="4" t="inlineStr">
        <is>
          <t>其他</t>
        </is>
      </c>
      <c r="G39" s="6" t="inlineStr">
        <is>
          <t>前提是有敌人攻击</t>
        </is>
      </c>
      <c r="H39" s="7" t="n">
        <v>1.031746031746032</v>
      </c>
    </row>
    <row r="40" ht="14.15" customHeight="1" s="10">
      <c r="A40" s="4" t="inlineStr">
        <is>
          <t>燕回反</t>
        </is>
      </c>
      <c r="B40" s="3" t="n">
        <v>1</v>
      </c>
      <c r="C40" s="4" t="inlineStr">
        <is>
          <t>稀有</t>
        </is>
      </c>
      <c r="D40" s="4" t="inlineStr">
        <is>
          <t>攻击</t>
        </is>
      </c>
      <c r="E40" s="6" t="inlineStr">
        <is>
          <t>释放你上一个释放的攻击，消耗(升级后不消耗)</t>
        </is>
      </c>
      <c r="F40" s="4" t="inlineStr">
        <is>
          <t>其他</t>
        </is>
      </c>
      <c r="G40" s="6" t="n"/>
      <c r="H40" s="7" t="n"/>
    </row>
    <row r="41" ht="14.15" customHeight="1" s="10">
      <c r="A41" s="4" t="inlineStr">
        <is>
          <t>荣誉</t>
        </is>
      </c>
      <c r="B41" s="3" t="n">
        <v>1</v>
      </c>
      <c r="C41" s="4" t="inlineStr">
        <is>
          <t>稀有</t>
        </is>
      </c>
      <c r="D41" s="4" t="inlineStr">
        <is>
          <t>攻击</t>
        </is>
      </c>
      <c r="E41" s="6" t="inlineStr">
        <is>
          <t>造成9/12点伤害，如果击杀目标则获得一张居合</t>
        </is>
      </c>
      <c r="F41" s="4" t="inlineStr">
        <is>
          <t>其他</t>
        </is>
      </c>
      <c r="G41" s="6" t="n"/>
      <c r="H41" s="7" t="n"/>
    </row>
    <row r="42" ht="14.15" customHeight="1" s="10">
      <c r="A42" s="4" t="inlineStr">
        <is>
          <t>天刀形态</t>
        </is>
      </c>
      <c r="B42" s="3" t="n">
        <v>3</v>
      </c>
      <c r="C42" s="4" t="inlineStr">
        <is>
          <t>稀有</t>
        </is>
      </c>
      <c r="D42" s="4" t="inlineStr">
        <is>
          <t>能力</t>
        </is>
      </c>
      <c r="E42" s="5" t="inlineStr">
        <is>
          <t>每回合打出的第一张攻击额外打次一次（保留）</t>
        </is>
      </c>
      <c r="F42" s="4" t="inlineStr">
        <is>
          <t>其他</t>
        </is>
      </c>
      <c r="G42" s="6" t="n"/>
      <c r="H42" s="7" t="n"/>
    </row>
    <row r="43" ht="14.15" customHeight="1" s="10">
      <c r="A43" s="4" t="inlineStr">
        <is>
          <t>神丶压制准备</t>
        </is>
      </c>
      <c r="B43" s="3" t="n">
        <v>0</v>
      </c>
      <c r="C43" s="4" t="inlineStr">
        <is>
          <t>先古</t>
        </is>
      </c>
      <c r="D43" s="4" t="inlineStr">
        <is>
          <t>技能</t>
        </is>
      </c>
      <c r="E43" s="5" t="inlineStr">
        <is>
          <t>从抽牌堆或弃牌堆抽尽可能多的攻击牌（升级后改为抽打击以外的攻击牌）；灵感：优先抽灵感牌。</t>
        </is>
      </c>
      <c r="F43" s="4" t="inlineStr">
        <is>
          <t>灵感</t>
        </is>
      </c>
      <c r="G43" s="6" t="n"/>
      <c r="H43" s="7" t="n"/>
    </row>
    <row r="44" ht="14.15" customHeight="1" s="10">
      <c r="A44" s="4" t="inlineStr">
        <is>
          <t>天际斩击</t>
        </is>
      </c>
      <c r="B44" s="3" t="n">
        <v>1</v>
      </c>
      <c r="C44" s="4" t="inlineStr">
        <is>
          <t>先古</t>
        </is>
      </c>
      <c r="D44" s="4" t="inlineStr">
        <is>
          <t>能力</t>
        </is>
      </c>
      <c r="E44" s="6" t="inlineStr">
        <is>
          <t>回合开始时，将手中所有牌放到抽牌堆顶部并抽出。（固有）</t>
        </is>
      </c>
      <c r="F44" s="4" t="inlineStr">
        <is>
          <t>其他</t>
        </is>
      </c>
      <c r="G44" s="6" t="n"/>
      <c r="H44" s="7" t="n"/>
    </row>
    <row r="45" ht="28.3" customHeight="1" s="10">
      <c r="A45" s="4" t="inlineStr">
        <is>
          <t>压制准备</t>
        </is>
      </c>
      <c r="B45" s="3" t="n">
        <v>0</v>
      </c>
      <c r="C45" s="4" t="inlineStr">
        <is>
          <t>初始</t>
        </is>
      </c>
      <c r="D45" s="4" t="inlineStr">
        <is>
          <t>技能</t>
        </is>
      </c>
      <c r="E45" s="5" t="inlineStr">
        <is>
          <t>从抽牌堆或弃牌堆抽一张攻击牌（升级后改为抽打击以外的攻击牌）；灵感：优先抽灵感牌。</t>
        </is>
      </c>
      <c r="F45" s="4" t="inlineStr">
        <is>
          <t>灵感</t>
        </is>
      </c>
      <c r="G45" s="6" t="n"/>
      <c r="H45" s="7" t="n"/>
    </row>
    <row r="46" ht="14.15" customHeight="1" s="10">
      <c r="A46" s="4" t="inlineStr">
        <is>
          <t>灵光</t>
        </is>
      </c>
      <c r="B46" s="3" t="n">
        <v>0</v>
      </c>
      <c r="C46" s="4" t="inlineStr">
        <is>
          <t>罕见</t>
        </is>
      </c>
      <c r="D46" s="4" t="inlineStr">
        <is>
          <t>技能</t>
        </is>
      </c>
      <c r="E46" s="6" t="inlineStr">
        <is>
          <t>触发手牌中灵感效果；消耗（不消耗）。</t>
        </is>
      </c>
      <c r="F46" s="4" t="inlineStr">
        <is>
          <t>灵感</t>
        </is>
      </c>
      <c r="G46" s="6" t="n"/>
      <c r="H46" s="7" t="n"/>
    </row>
    <row r="47" ht="28.3" customHeight="1" s="10">
      <c r="A47" s="4" t="inlineStr">
        <is>
          <t>霜降</t>
        </is>
      </c>
      <c r="B47" s="3" t="n">
        <v>1</v>
      </c>
      <c r="C47" s="4" t="inlineStr">
        <is>
          <t>罕见</t>
        </is>
      </c>
      <c r="D47" s="4" t="inlineStr">
        <is>
          <t>能力</t>
        </is>
      </c>
      <c r="E47" s="6" t="inlineStr">
        <is>
          <t>打击获得灵感:-1费（固有）。</t>
        </is>
      </c>
      <c r="F47" s="4" t="inlineStr">
        <is>
          <t>灵感</t>
        </is>
      </c>
      <c r="G47" s="6" t="n"/>
      <c r="H47" s="7" t="n"/>
    </row>
    <row r="48" ht="28.3" customHeight="1" s="10">
      <c r="A48" s="4" t="inlineStr">
        <is>
          <t>寒霜</t>
        </is>
      </c>
      <c r="B48" s="3" t="n">
        <v>1</v>
      </c>
      <c r="C48" s="4" t="inlineStr">
        <is>
          <t>罕见</t>
        </is>
      </c>
      <c r="D48" s="4" t="inlineStr">
        <is>
          <t>能力</t>
        </is>
      </c>
      <c r="E48" s="6" t="inlineStr">
        <is>
          <t>回合开始时随机触发1/2张手中的灵感。</t>
        </is>
      </c>
      <c r="F48" s="4" t="inlineStr">
        <is>
          <t>灵感</t>
        </is>
      </c>
      <c r="G48" s="6" t="n"/>
      <c r="H48" s="7" t="n"/>
    </row>
    <row r="49" ht="28.3" customHeight="1" s="10">
      <c r="A49" s="4" t="inlineStr">
        <is>
          <t>冰点之刃</t>
        </is>
      </c>
      <c r="B49" s="3" t="n">
        <v>1</v>
      </c>
      <c r="C49" s="4" t="inlineStr">
        <is>
          <t>罕见</t>
        </is>
      </c>
      <c r="D49" s="4" t="inlineStr">
        <is>
          <t>能力</t>
        </is>
      </c>
      <c r="E49" s="6" t="inlineStr">
        <is>
          <t>触发灵感时对随机敌人造成4/6伤害。</t>
        </is>
      </c>
      <c r="F49" s="4" t="inlineStr">
        <is>
          <t>灵感</t>
        </is>
      </c>
      <c r="G49" s="6" t="n"/>
      <c r="H49" s="7" t="n"/>
    </row>
    <row r="50" ht="14.15" customHeight="1" s="10">
      <c r="A50" s="2" t="inlineStr">
        <is>
          <t>先见之明</t>
        </is>
      </c>
      <c r="B50" s="3" t="n">
        <v>1</v>
      </c>
      <c r="C50" s="4" t="inlineStr">
        <is>
          <t>罕见</t>
        </is>
      </c>
      <c r="D50" s="4" t="inlineStr">
        <is>
          <t>能力</t>
        </is>
      </c>
      <c r="E50" s="6" t="inlineStr">
        <is>
          <t>回合开始时预见3/4。</t>
        </is>
      </c>
      <c r="F50" s="4" t="inlineStr">
        <is>
          <t>灵感</t>
        </is>
      </c>
      <c r="G50" s="6" t="n"/>
      <c r="H50" s="7" t="n">
        <v>1.125</v>
      </c>
    </row>
    <row r="51" ht="14.15" customHeight="1" s="10">
      <c r="A51" s="4" t="inlineStr">
        <is>
          <t>沉思</t>
        </is>
      </c>
      <c r="B51" s="3" t="n">
        <v>1</v>
      </c>
      <c r="C51" s="4" t="inlineStr">
        <is>
          <t>罕见</t>
        </is>
      </c>
      <c r="D51" s="4" t="inlineStr">
        <is>
          <t>能力</t>
        </is>
      </c>
      <c r="E51" s="6" t="inlineStr">
        <is>
          <t>使用灵感牌获得2/3格挡。</t>
        </is>
      </c>
      <c r="F51" s="4" t="inlineStr">
        <is>
          <t>灵感</t>
        </is>
      </c>
      <c r="G51" s="6" t="n"/>
      <c r="H51" s="7" t="n"/>
    </row>
    <row r="52" ht="14.15" customHeight="1" s="10">
      <c r="A52" s="2" t="inlineStr">
        <is>
          <t>命定</t>
        </is>
      </c>
      <c r="B52" s="3" t="n">
        <v>1</v>
      </c>
      <c r="C52" s="4" t="inlineStr">
        <is>
          <t>罕见</t>
        </is>
      </c>
      <c r="D52" s="4" t="inlineStr">
        <is>
          <t>技能</t>
        </is>
      </c>
      <c r="E52" s="5" t="inlineStr">
        <is>
          <t>预见3/4，抽2张牌。</t>
        </is>
      </c>
      <c r="F52" s="4" t="inlineStr">
        <is>
          <t>灵感</t>
        </is>
      </c>
      <c r="G52" s="6" t="n"/>
      <c r="H52" s="7" t="n">
        <v>1.175</v>
      </c>
    </row>
    <row r="53" ht="14.15" customHeight="1" s="10">
      <c r="A53" s="4" t="inlineStr">
        <is>
          <t>拔刀斩</t>
        </is>
      </c>
      <c r="B53" s="3" t="n">
        <v>1</v>
      </c>
      <c r="C53" s="4" t="inlineStr">
        <is>
          <t>罕见</t>
        </is>
      </c>
      <c r="D53" s="4" t="inlineStr">
        <is>
          <t>技能</t>
        </is>
      </c>
      <c r="E53" s="6" t="inlineStr">
        <is>
          <t>抽1张牌并打出；消耗（升级后不消耗）；灵感:-1费。</t>
        </is>
      </c>
      <c r="F53" s="4" t="inlineStr">
        <is>
          <t>灵感</t>
        </is>
      </c>
      <c r="G53" s="6" t="n"/>
      <c r="H53" s="7" t="n"/>
    </row>
    <row r="54" ht="28.3" customHeight="1" s="10">
      <c r="A54" s="4" t="inlineStr">
        <is>
          <t>黑云秘技:回转</t>
        </is>
      </c>
      <c r="B54" s="3" t="n">
        <v>1</v>
      </c>
      <c r="C54" s="4" t="inlineStr">
        <is>
          <t>罕见</t>
        </is>
      </c>
      <c r="D54" s="4" t="inlineStr">
        <is>
          <t>技能</t>
        </is>
      </c>
      <c r="E54" s="5" t="inlineStr">
        <is>
          <t>获得5/8格挡，抽一张黑云牌；灵感：进入黑云姿态。</t>
        </is>
      </c>
      <c r="F54" s="4" t="inlineStr">
        <is>
          <t>灵感</t>
        </is>
      </c>
      <c r="G54" s="6" t="n"/>
      <c r="H54" s="7" t="n">
        <v>0.9555555555555556</v>
      </c>
    </row>
    <row r="55" ht="28.3" customHeight="1" s="10">
      <c r="A55" s="4" t="inlineStr">
        <is>
          <t>冰雪</t>
        </is>
      </c>
      <c r="B55" s="3" t="n">
        <v>1</v>
      </c>
      <c r="C55" s="4" t="inlineStr">
        <is>
          <t>罕见</t>
        </is>
      </c>
      <c r="D55" s="4" t="inlineStr">
        <is>
          <t>攻击</t>
        </is>
      </c>
      <c r="E55" s="6" t="inlineStr">
        <is>
          <t>造成4点伤害2/3次；抽一张牌（优先抽灵感牌）。</t>
        </is>
      </c>
      <c r="F55" s="4" t="inlineStr">
        <is>
          <t>灵感</t>
        </is>
      </c>
      <c r="G55" s="6" t="n"/>
      <c r="H55" s="7" t="n">
        <v>1.127272727272727</v>
      </c>
    </row>
    <row r="56" ht="14.15" customHeight="1" s="10">
      <c r="A56" s="4" t="inlineStr">
        <is>
          <t>破冰斩</t>
        </is>
      </c>
      <c r="B56" s="3" t="n">
        <v>1</v>
      </c>
      <c r="C56" s="4" t="inlineStr">
        <is>
          <t>罕见</t>
        </is>
      </c>
      <c r="D56" s="4" t="inlineStr">
        <is>
          <t>攻击</t>
        </is>
      </c>
      <c r="E56" s="6" t="inlineStr">
        <is>
          <t>对所有敌人造成8/10点伤害；灵感：额外攻击一次。</t>
        </is>
      </c>
      <c r="F56" s="4" t="inlineStr">
        <is>
          <t>灵感</t>
        </is>
      </c>
      <c r="G56" s="6" t="n"/>
      <c r="H56" s="7" t="n">
        <v>1.090909090909091</v>
      </c>
    </row>
    <row r="57" ht="14.15" customHeight="1" s="10">
      <c r="A57" s="4" t="inlineStr">
        <is>
          <t>寒冰庇护</t>
        </is>
      </c>
      <c r="B57" s="3" t="n">
        <v>1</v>
      </c>
      <c r="C57" s="4" t="inlineStr">
        <is>
          <t>通常</t>
        </is>
      </c>
      <c r="D57" s="4" t="inlineStr">
        <is>
          <t>技能</t>
        </is>
      </c>
      <c r="E57" s="5" t="inlineStr">
        <is>
          <t>获得7/10点格挡，抽1；灵感：抽1。</t>
        </is>
      </c>
      <c r="F57" s="4" t="inlineStr">
        <is>
          <t>灵感</t>
        </is>
      </c>
      <c r="G57" s="6" t="n"/>
      <c r="H57" s="7" t="n">
        <v>1.377777777777778</v>
      </c>
    </row>
    <row r="58" ht="14.15" customHeight="1" s="10">
      <c r="A58" s="2" t="inlineStr">
        <is>
          <t>天眼</t>
        </is>
      </c>
      <c r="B58" s="3" t="n">
        <v>1</v>
      </c>
      <c r="C58" s="4" t="inlineStr">
        <is>
          <t>通常</t>
        </is>
      </c>
      <c r="D58" s="4" t="inlineStr">
        <is>
          <t>技能</t>
        </is>
      </c>
      <c r="E58" s="6" t="inlineStr">
        <is>
          <t>7/9甲，预见3/5。</t>
        </is>
      </c>
      <c r="F58" s="4" t="inlineStr">
        <is>
          <t>灵感</t>
        </is>
      </c>
      <c r="G58" s="6" t="n"/>
      <c r="H58" s="7" t="n">
        <v>1.152777777777778</v>
      </c>
    </row>
    <row r="59" ht="28.3" customHeight="1" s="10">
      <c r="A59" s="4" t="inlineStr">
        <is>
          <t>严寒</t>
        </is>
      </c>
      <c r="B59" s="3" t="n">
        <v>1</v>
      </c>
      <c r="C59" s="4" t="inlineStr">
        <is>
          <t>通常</t>
        </is>
      </c>
      <c r="D59" s="4" t="inlineStr">
        <is>
          <t>攻击</t>
        </is>
      </c>
      <c r="E59" s="6" t="inlineStr">
        <is>
          <t>造成5点伤害，抽1/2张牌；灵感：额外造成5点伤害。</t>
        </is>
      </c>
      <c r="F59" s="4" t="inlineStr">
        <is>
          <t>灵感</t>
        </is>
      </c>
      <c r="G59" s="6" t="n"/>
      <c r="H59" s="7" t="n">
        <v>1.081818181818182</v>
      </c>
    </row>
    <row r="60" ht="28.3" customHeight="1" s="10">
      <c r="A60" s="4" t="inlineStr">
        <is>
          <t>迷惑一击</t>
        </is>
      </c>
      <c r="B60" s="3" t="n">
        <v>1</v>
      </c>
      <c r="C60" s="4" t="inlineStr">
        <is>
          <t>通常</t>
        </is>
      </c>
      <c r="D60" s="4" t="inlineStr">
        <is>
          <t>攻击</t>
        </is>
      </c>
      <c r="E60" s="6" t="inlineStr">
        <is>
          <t>造成4点伤害2次；随机（升级后改为选择）一张牌触发灵感。</t>
        </is>
      </c>
      <c r="F60" s="4" t="inlineStr">
        <is>
          <t>灵感</t>
        </is>
      </c>
      <c r="G60" s="6" t="n"/>
      <c r="H60" s="7" t="n"/>
    </row>
    <row r="61" ht="28.3" customHeight="1" s="10">
      <c r="A61" s="4" t="inlineStr">
        <is>
          <t>冰封</t>
        </is>
      </c>
      <c r="B61" s="3" t="n">
        <v>1</v>
      </c>
      <c r="C61" s="4" t="inlineStr">
        <is>
          <t>通常</t>
        </is>
      </c>
      <c r="D61" s="4" t="inlineStr">
        <is>
          <t>攻击</t>
        </is>
      </c>
      <c r="E61" s="6" t="inlineStr">
        <is>
          <t>造成8/11伤害，施加1虚弱；灵感：施加2虚弱。</t>
        </is>
      </c>
      <c r="F61" s="4" t="inlineStr">
        <is>
          <t>灵感</t>
        </is>
      </c>
      <c r="G61" s="6" t="n"/>
      <c r="H61" s="7" t="n">
        <v>0.7272727272727274</v>
      </c>
    </row>
    <row r="62" ht="28.3" customHeight="1" s="10">
      <c r="A62" s="2" t="inlineStr">
        <is>
          <t>斩破命运</t>
        </is>
      </c>
      <c r="B62" s="3" t="n">
        <v>1</v>
      </c>
      <c r="C62" s="4" t="inlineStr">
        <is>
          <t>通常</t>
        </is>
      </c>
      <c r="D62" s="4" t="inlineStr">
        <is>
          <t>攻击</t>
        </is>
      </c>
      <c r="E62" s="6" t="inlineStr">
        <is>
          <t>打7/9，预见2/3，抽1。</t>
        </is>
      </c>
      <c r="F62" s="4" t="inlineStr">
        <is>
          <t>灵感</t>
        </is>
      </c>
      <c r="G62" s="6" t="n"/>
      <c r="H62" s="7" t="n">
        <v>1.286363636363636</v>
      </c>
    </row>
    <row r="63" ht="14.15" customHeight="1" s="10">
      <c r="A63" s="4" t="inlineStr">
        <is>
          <t>快速斩</t>
        </is>
      </c>
      <c r="B63" s="3" t="n">
        <v>1</v>
      </c>
      <c r="C63" s="4" t="inlineStr">
        <is>
          <t>通常</t>
        </is>
      </c>
      <c r="D63" s="4" t="inlineStr">
        <is>
          <t>攻击</t>
        </is>
      </c>
      <c r="E63" s="6" t="inlineStr">
        <is>
          <t>造成2点伤害3次；灵感：额外攻击2次。</t>
        </is>
      </c>
      <c r="F63" s="4" t="inlineStr">
        <is>
          <t>灵感</t>
        </is>
      </c>
      <c r="G63" s="6" t="n"/>
      <c r="H63" s="7" t="n">
        <v>0.7272727272727274</v>
      </c>
    </row>
    <row r="64" ht="28.3" customHeight="1" s="10">
      <c r="A64" s="4" t="inlineStr">
        <is>
          <t>雪</t>
        </is>
      </c>
      <c r="B64" s="3" t="n">
        <v>1</v>
      </c>
      <c r="C64" s="4" t="inlineStr">
        <is>
          <t>通常</t>
        </is>
      </c>
      <c r="D64" s="4" t="inlineStr">
        <is>
          <t>攻击</t>
        </is>
      </c>
      <c r="E64" s="5" t="inlineStr">
        <is>
          <t>造成6/9点伤害，获得雪，灵感:抽一张牌</t>
        </is>
      </c>
      <c r="F64" s="4" t="inlineStr">
        <is>
          <t>灵感</t>
        </is>
      </c>
      <c r="G64" s="6" t="n"/>
      <c r="H64" s="7" t="n">
        <v>0.7454545454545455</v>
      </c>
    </row>
    <row r="65" ht="28.3" customHeight="1" s="10">
      <c r="A65" s="4" t="inlineStr">
        <is>
          <t>偷袭斩</t>
        </is>
      </c>
      <c r="B65" s="3" t="n">
        <v>2</v>
      </c>
      <c r="C65" s="4" t="inlineStr">
        <is>
          <t>通常</t>
        </is>
      </c>
      <c r="D65" s="4" t="inlineStr">
        <is>
          <t>攻击</t>
        </is>
      </c>
      <c r="E65" s="6" t="inlineStr">
        <is>
          <t>对所有敌人造成15点伤害；灵感：减少1/2费。</t>
        </is>
      </c>
      <c r="F65" s="4" t="inlineStr">
        <is>
          <t>灵感</t>
        </is>
      </c>
      <c r="G65" s="6" t="n"/>
      <c r="H65" s="7" t="n">
        <v>1.363636363636364</v>
      </c>
    </row>
    <row r="66" ht="28.3" customHeight="1" s="10">
      <c r="A66" s="8" t="inlineStr">
        <is>
          <t>高速斩击</t>
        </is>
      </c>
      <c r="B66" s="3" t="n">
        <v>2</v>
      </c>
      <c r="C66" s="8" t="inlineStr">
        <is>
          <t>通常</t>
        </is>
      </c>
      <c r="D66" s="4" t="inlineStr">
        <is>
          <t>攻击</t>
        </is>
      </c>
      <c r="E66" s="6" t="inlineStr">
        <is>
          <t>对所有敌人造成15/20点伤害；灵感：抽2张牌。</t>
        </is>
      </c>
      <c r="F66" s="4" t="inlineStr">
        <is>
          <t>灵感</t>
        </is>
      </c>
      <c r="G66" s="6" t="n"/>
      <c r="H66" s="7" t="n">
        <v>1.763636363636364</v>
      </c>
    </row>
    <row r="67" ht="14.15" customHeight="1" s="10">
      <c r="A67" s="4" t="inlineStr">
        <is>
          <t>天际</t>
        </is>
      </c>
      <c r="B67" s="3" t="n">
        <v>0</v>
      </c>
      <c r="C67" s="4" t="inlineStr">
        <is>
          <t>稀有</t>
        </is>
      </c>
      <c r="D67" s="4" t="inlineStr">
        <is>
          <t>技能</t>
        </is>
      </c>
      <c r="E67" s="6" t="inlineStr">
        <is>
          <t>把手牌放到抽牌堆顶部，并抽同等数量的卡；消耗（不消耗）。</t>
        </is>
      </c>
      <c r="F67" s="4" t="inlineStr">
        <is>
          <t>灵感</t>
        </is>
      </c>
      <c r="G67" s="6" t="n"/>
      <c r="H67" s="7" t="n"/>
    </row>
    <row r="68" ht="28.3" customHeight="1" s="10">
      <c r="A68" s="4" t="inlineStr">
        <is>
          <t>零度</t>
        </is>
      </c>
      <c r="B68" s="3" t="n">
        <v>1</v>
      </c>
      <c r="C68" s="4" t="inlineStr">
        <is>
          <t>稀有</t>
        </is>
      </c>
      <c r="D68" s="4" t="inlineStr">
        <is>
          <t>能力</t>
        </is>
      </c>
      <c r="E68" s="5" t="inlineStr">
        <is>
          <t>当释放33/22次灵感牌，获得一张居合</t>
        </is>
      </c>
      <c r="F68" s="4" t="inlineStr">
        <is>
          <t>灵感</t>
        </is>
      </c>
      <c r="G68" s="6" t="n"/>
      <c r="H68" s="7" t="n"/>
    </row>
    <row r="69" ht="14.15" customHeight="1" s="10">
      <c r="A69" s="4" t="inlineStr">
        <is>
          <t>纳刀</t>
        </is>
      </c>
      <c r="B69" s="3" t="n">
        <v>1</v>
      </c>
      <c r="C69" s="4" t="inlineStr">
        <is>
          <t>Token</t>
        </is>
      </c>
      <c r="D69" s="4" t="inlineStr">
        <is>
          <t>攻击</t>
        </is>
      </c>
      <c r="E69" s="5" t="inlineStr">
        <is>
          <t>造成5/7点伤害，本回合每释放一张攻击牌额外攻击一次；手里没有攻击牌时费用-1；消耗。</t>
        </is>
      </c>
      <c r="F69" s="4" t="inlineStr">
        <is>
          <t>黑云</t>
        </is>
      </c>
      <c r="G69" s="6" t="n"/>
      <c r="H69" s="7" t="n"/>
    </row>
    <row r="70" ht="28.3" customHeight="1" s="10">
      <c r="A70" s="2" t="inlineStr">
        <is>
          <t>黑云奥义:拔刀</t>
        </is>
      </c>
      <c r="B70" s="3" t="n">
        <v>0</v>
      </c>
      <c r="C70" s="4" t="inlineStr">
        <is>
          <t>初始</t>
        </is>
      </c>
      <c r="D70" s="4" t="inlineStr">
        <is>
          <t>攻击</t>
        </is>
      </c>
      <c r="E70" s="5" t="inlineStr">
        <is>
          <t>造成4/6点伤害；黑云：额外攻击一次。</t>
        </is>
      </c>
      <c r="F70" s="4" t="inlineStr">
        <is>
          <t>黑云</t>
        </is>
      </c>
      <c r="G70" s="6" t="n"/>
      <c r="H70" s="7" t="n">
        <v>0.5454545454545454</v>
      </c>
    </row>
    <row r="71" ht="28.3" customHeight="1" s="10">
      <c r="A71" s="4" t="inlineStr">
        <is>
          <t>黑云秘法:燕回</t>
        </is>
      </c>
      <c r="B71" s="3" t="n">
        <v>0</v>
      </c>
      <c r="C71" s="4" t="inlineStr">
        <is>
          <t>罕见</t>
        </is>
      </c>
      <c r="D71" s="4" t="inlineStr">
        <is>
          <t>技能</t>
        </is>
      </c>
      <c r="E71" s="5" t="inlineStr">
        <is>
          <t>把随机一张黑云牌从抽牌堆或弃牌堆移至手牌；黑云：保留黑云姿态。消耗（不再消耗）</t>
        </is>
      </c>
      <c r="F71" s="4" t="inlineStr">
        <is>
          <t>黑云</t>
        </is>
      </c>
      <c r="G71" s="6" t="n"/>
      <c r="H71" s="7" t="n"/>
    </row>
    <row r="72" ht="14.15" customHeight="1" s="10">
      <c r="A72" s="4" t="inlineStr">
        <is>
          <t>如影随形</t>
        </is>
      </c>
      <c r="B72" s="3" t="n">
        <v>1</v>
      </c>
      <c r="C72" s="4" t="inlineStr">
        <is>
          <t>罕见</t>
        </is>
      </c>
      <c r="D72" s="4" t="inlineStr">
        <is>
          <t>能力</t>
        </is>
      </c>
      <c r="E72" s="5" t="inlineStr">
        <is>
          <t>回合开始时若在黑云姿态则抽一张牌，优先黑云牌。(固有)</t>
        </is>
      </c>
      <c r="F72" s="4" t="inlineStr">
        <is>
          <t>黑云</t>
        </is>
      </c>
      <c r="G72" s="6" t="n"/>
      <c r="H72" s="7" t="n"/>
    </row>
    <row r="73" ht="14.15" customHeight="1" s="10">
      <c r="A73" s="4" t="inlineStr">
        <is>
          <t>引雷天云</t>
        </is>
      </c>
      <c r="B73" s="3" t="n">
        <v>1</v>
      </c>
      <c r="C73" s="4" t="inlineStr">
        <is>
          <t>罕见</t>
        </is>
      </c>
      <c r="D73" s="4" t="inlineStr">
        <is>
          <t>能力</t>
        </is>
      </c>
      <c r="E73" s="6" t="inlineStr">
        <is>
          <t>黑云姿态下获得3/4力量。</t>
        </is>
      </c>
      <c r="F73" s="4" t="inlineStr">
        <is>
          <t>黑云</t>
        </is>
      </c>
      <c r="G73" s="6" t="n"/>
      <c r="H73" s="7" t="n">
        <v>0.75</v>
      </c>
    </row>
    <row r="74" ht="14.15" customHeight="1" s="10">
      <c r="A74" s="4" t="inlineStr">
        <is>
          <t>黑云秘法:霞阵</t>
        </is>
      </c>
      <c r="B74" s="3" t="n">
        <v>1</v>
      </c>
      <c r="C74" s="4" t="inlineStr">
        <is>
          <t>罕见</t>
        </is>
      </c>
      <c r="D74" s="4" t="inlineStr">
        <is>
          <t>技能</t>
        </is>
      </c>
      <c r="E74" s="5" t="inlineStr">
        <is>
          <t>抽1张牌，这张牌下次使用费用减少1；黑云：保留黑云姿态。(保留)</t>
        </is>
      </c>
      <c r="F74" s="4" t="inlineStr">
        <is>
          <t>黑云</t>
        </is>
      </c>
      <c r="G74" s="6" t="n"/>
      <c r="H74" s="7" t="n"/>
    </row>
    <row r="75" ht="14.15" customHeight="1" s="10">
      <c r="A75" s="2" t="inlineStr">
        <is>
          <t>黑云心法</t>
        </is>
      </c>
      <c r="B75" s="3" t="n">
        <v>1</v>
      </c>
      <c r="C75" s="4" t="inlineStr">
        <is>
          <t>罕见</t>
        </is>
      </c>
      <c r="D75" s="4" t="inlineStr">
        <is>
          <t>技能</t>
        </is>
      </c>
      <c r="E75" s="5" t="inlineStr">
        <is>
          <t>一回合内保留黑云姿态；黑云：本回合内获得2/3力量。</t>
        </is>
      </c>
      <c r="F75" s="4" t="inlineStr">
        <is>
          <t>黑云</t>
        </is>
      </c>
      <c r="G75" s="6" t="n"/>
      <c r="H75" s="7" t="n">
        <v>0.5</v>
      </c>
    </row>
    <row r="76" ht="28.3" customHeight="1" s="10">
      <c r="A76" s="2" t="inlineStr">
        <is>
          <t>黑云秘法:降临</t>
        </is>
      </c>
      <c r="B76" s="3" t="n">
        <v>1</v>
      </c>
      <c r="C76" s="4" t="inlineStr">
        <is>
          <t>罕见</t>
        </is>
      </c>
      <c r="D76" s="4" t="inlineStr">
        <is>
          <t>技能</t>
        </is>
      </c>
      <c r="E76" s="5" t="inlineStr">
        <is>
          <t>获得8/11格挡，下次进入黑云姿态时为所有敌方施加1层易伤</t>
        </is>
      </c>
      <c r="F76" s="4" t="inlineStr">
        <is>
          <t>黑云</t>
        </is>
      </c>
      <c r="G76" s="6" t="n"/>
      <c r="H76" s="7" t="n">
        <v>1.422222222222222</v>
      </c>
    </row>
    <row r="77" ht="28.3" customHeight="1" s="10">
      <c r="A77" s="2" t="inlineStr">
        <is>
          <t>黑云秘法:虚像</t>
        </is>
      </c>
      <c r="B77" s="3" t="n">
        <v>1</v>
      </c>
      <c r="C77" s="4" t="inlineStr">
        <is>
          <t>罕见</t>
        </is>
      </c>
      <c r="D77" s="4" t="inlineStr">
        <is>
          <t>技能</t>
        </is>
      </c>
      <c r="E77" s="5" t="inlineStr">
        <is>
          <t>施加2/3层虚弱，下回合进入黑云姿态</t>
        </is>
      </c>
      <c r="F77" s="4" t="inlineStr">
        <is>
          <t>黑云</t>
        </is>
      </c>
      <c r="G77" s="6" t="n"/>
      <c r="H77" s="7" t="n"/>
    </row>
    <row r="78" ht="14.15" customHeight="1" s="10">
      <c r="A78" s="4" t="inlineStr">
        <is>
          <t>黑云秘法:幕临</t>
        </is>
      </c>
      <c r="B78" s="4" t="n">
        <v>1</v>
      </c>
      <c r="C78" s="4" t="inlineStr">
        <is>
          <t>罕见</t>
        </is>
      </c>
      <c r="D78" s="4" t="inlineStr">
        <is>
          <t>技能</t>
        </is>
      </c>
      <c r="E78" s="4" t="inlineStr">
        <is>
          <t>获得7/10点格挡，下次进入黑云姿态的回合内获得3点力量</t>
        </is>
      </c>
      <c r="F78" s="4" t="inlineStr">
        <is>
          <t>黑云</t>
        </is>
      </c>
    </row>
    <row r="79" ht="14.15" customHeight="1" s="10">
      <c r="A79" s="4" t="inlineStr">
        <is>
          <t>黑云奥义：残</t>
        </is>
      </c>
      <c r="B79" s="3" t="n">
        <v>0</v>
      </c>
      <c r="C79" s="4" t="inlineStr">
        <is>
          <t>通常</t>
        </is>
      </c>
      <c r="D79" s="4" t="inlineStr">
        <is>
          <t>技能</t>
        </is>
      </c>
      <c r="E79" s="5" t="inlineStr">
        <is>
          <t>抽一张牌；黑云：保留黑云姿态。消耗（不再消耗）</t>
        </is>
      </c>
      <c r="F79" s="4" t="inlineStr">
        <is>
          <t>黑云</t>
        </is>
      </c>
      <c r="G79" s="6" t="n"/>
      <c r="H79" s="7" t="n">
        <v>0.4</v>
      </c>
    </row>
    <row r="80" ht="28.3" customHeight="1" s="10">
      <c r="A80" s="4" t="inlineStr">
        <is>
          <t>黑云秘法:隼舞</t>
        </is>
      </c>
      <c r="B80" s="3" t="n">
        <v>1</v>
      </c>
      <c r="C80" s="4" t="inlineStr">
        <is>
          <t>通常</t>
        </is>
      </c>
      <c r="D80" s="4" t="inlineStr">
        <is>
          <t>技能</t>
        </is>
      </c>
      <c r="E80" s="6" t="inlineStr">
        <is>
          <t>获得9/12点格挡；黑云：抽2张牌。</t>
        </is>
      </c>
      <c r="F80" s="4" t="inlineStr">
        <is>
          <t>黑云</t>
        </is>
      </c>
      <c r="G80" s="6" t="n"/>
      <c r="H80" s="7" t="n">
        <v>1.4</v>
      </c>
    </row>
    <row r="81" ht="14.15" customHeight="1" s="10">
      <c r="A81" s="4" t="inlineStr">
        <is>
          <t>黑云秘法:积雨</t>
        </is>
      </c>
      <c r="B81" s="3" t="n">
        <v>1</v>
      </c>
      <c r="C81" s="4" t="inlineStr">
        <is>
          <t>通常</t>
        </is>
      </c>
      <c r="D81" s="4" t="inlineStr">
        <is>
          <t>技能</t>
        </is>
      </c>
      <c r="E81" s="6" t="inlineStr">
        <is>
          <t>获得8/11格挡，下回合开始时进入黑云姿态</t>
        </is>
      </c>
      <c r="F81" s="4" t="inlineStr">
        <is>
          <t>黑云</t>
        </is>
      </c>
      <c r="G81" s="6" t="n"/>
      <c r="H81" s="7" t="n">
        <v>1.222222222222222</v>
      </c>
    </row>
    <row r="82" ht="14.15" customHeight="1" s="10">
      <c r="A82" s="2" t="inlineStr">
        <is>
          <t>拨日见云</t>
        </is>
      </c>
      <c r="B82" s="3" t="n">
        <v>1</v>
      </c>
      <c r="C82" s="4" t="inlineStr">
        <is>
          <t>通常</t>
        </is>
      </c>
      <c r="D82" s="4" t="inlineStr">
        <is>
          <t>技能</t>
        </is>
      </c>
      <c r="E82" s="5" t="inlineStr">
        <is>
          <t>预见3/5，下回合开始时进入黑云姿态并抽1张牌。</t>
        </is>
      </c>
      <c r="F82" s="4" t="inlineStr">
        <is>
          <t>黑云</t>
        </is>
      </c>
      <c r="G82" s="6" t="n"/>
      <c r="H82" s="7" t="n"/>
    </row>
    <row r="83" ht="14.15" customHeight="1" s="10">
      <c r="A83" s="4" t="inlineStr">
        <is>
          <t>黑云奥义：灭</t>
        </is>
      </c>
      <c r="B83" s="3" t="n">
        <v>1</v>
      </c>
      <c r="C83" s="4" t="inlineStr">
        <is>
          <t>通常</t>
        </is>
      </c>
      <c r="D83" s="4" t="inlineStr">
        <is>
          <t>攻击</t>
        </is>
      </c>
      <c r="E83" s="6" t="inlineStr">
        <is>
          <t>造成9/12点伤害；黑云：额外攻击一次。</t>
        </is>
      </c>
      <c r="F83" s="4" t="inlineStr">
        <is>
          <t>黑云</t>
        </is>
      </c>
      <c r="G83" s="6" t="n"/>
      <c r="H83" s="7" t="n">
        <v>1.227272727272727</v>
      </c>
    </row>
    <row r="84" ht="14.15" customHeight="1" s="10">
      <c r="A84" s="4" t="inlineStr">
        <is>
          <t>花</t>
        </is>
      </c>
      <c r="B84" s="3" t="n">
        <v>1</v>
      </c>
      <c r="C84" s="4" t="inlineStr">
        <is>
          <t>通常</t>
        </is>
      </c>
      <c r="D84" s="4" t="inlineStr">
        <is>
          <t>攻击</t>
        </is>
      </c>
      <c r="E84" s="5" t="inlineStr">
        <is>
          <t>造成6/9点伤害，获得花，黑云：额外攻击一次</t>
        </is>
      </c>
      <c r="F84" s="4" t="inlineStr">
        <is>
          <t>黑云</t>
        </is>
      </c>
      <c r="G84" s="6" t="n"/>
      <c r="H84" s="7" t="n">
        <v>0.8181818181818181</v>
      </c>
    </row>
    <row r="85" ht="14.15" customHeight="1" s="10">
      <c r="A85" s="2" t="inlineStr">
        <is>
          <t>黑云奥义:殇</t>
        </is>
      </c>
      <c r="B85" s="3" t="n">
        <v>1</v>
      </c>
      <c r="C85" s="4" t="inlineStr">
        <is>
          <t>通常</t>
        </is>
      </c>
      <c r="D85" s="4" t="inlineStr">
        <is>
          <t>攻击</t>
        </is>
      </c>
      <c r="E85" s="5" t="inlineStr">
        <is>
          <t>造成9/12点伤害，黑云：施加2层易伤</t>
        </is>
      </c>
      <c r="F85" s="4" t="inlineStr">
        <is>
          <t>黑云</t>
        </is>
      </c>
      <c r="G85" s="6" t="n"/>
      <c r="H85" s="7" t="n">
        <v>0.9454545454545454</v>
      </c>
    </row>
    <row r="86" ht="14.15" customHeight="1" s="10">
      <c r="A86" s="4" t="inlineStr">
        <is>
          <t>黑云秘法:魂佑</t>
        </is>
      </c>
      <c r="B86" s="4" t="n">
        <v>2</v>
      </c>
      <c r="C86" s="4" t="inlineStr">
        <is>
          <t>通常</t>
        </is>
      </c>
      <c r="D86" s="4" t="inlineStr">
        <is>
          <t>技能</t>
        </is>
      </c>
      <c r="E86" s="4" t="inlineStr">
        <is>
          <t>获得9/13点格挡，下次进入黑云姿态时获得2费。</t>
        </is>
      </c>
      <c r="F86" s="4" t="inlineStr">
        <is>
          <t>黑云</t>
        </is>
      </c>
    </row>
    <row r="87" ht="28.3" customHeight="1" s="10">
      <c r="A87" s="4" t="inlineStr">
        <is>
          <t>黑云秘法:影缚</t>
        </is>
      </c>
      <c r="B87" s="4" t="n">
        <v>2</v>
      </c>
      <c r="C87" s="4" t="inlineStr">
        <is>
          <t>通常</t>
        </is>
      </c>
      <c r="D87" s="4" t="inlineStr">
        <is>
          <t>攻击</t>
        </is>
      </c>
      <c r="E87" s="4" t="inlineStr">
        <is>
          <t>造成4点伤害3/4次，下次进入黑云姿态抽3张牌</t>
        </is>
      </c>
      <c r="F87" s="4" t="inlineStr">
        <is>
          <t>黑云</t>
        </is>
      </c>
    </row>
    <row r="88" ht="42.45" customHeight="1" s="10">
      <c r="A88" s="8" t="inlineStr">
        <is>
          <t>黑雾降临</t>
        </is>
      </c>
      <c r="B88" s="3" t="n">
        <v>1</v>
      </c>
      <c r="C88" s="4" t="inlineStr">
        <is>
          <t>稀有</t>
        </is>
      </c>
      <c r="D88" s="4" t="inlineStr">
        <is>
          <t>能力</t>
        </is>
      </c>
      <c r="E88" s="6" t="inlineStr">
        <is>
          <t>回合开始时进入黑云姿态（固有）。</t>
        </is>
      </c>
      <c r="F88" s="4" t="inlineStr">
        <is>
          <t>黑云</t>
        </is>
      </c>
      <c r="G88" s="6" t="n"/>
      <c r="H88" s="7" t="n"/>
    </row>
    <row r="89" ht="14.15" customHeight="1" s="10">
      <c r="A89" s="2" t="inlineStr">
        <is>
          <t>黑云秘法:出鞘</t>
        </is>
      </c>
      <c r="B89" s="3" t="n">
        <v>1</v>
      </c>
      <c r="C89" s="4" t="inlineStr">
        <is>
          <t>稀有</t>
        </is>
      </c>
      <c r="D89" s="4" t="inlineStr">
        <is>
          <t>技能</t>
        </is>
      </c>
      <c r="E89" s="5" t="inlineStr">
        <is>
          <t>进入黑云姿态，下次退出黑云姿态时获得一张[纳刀]/[纳刀+]。</t>
        </is>
      </c>
      <c r="F89" s="4" t="inlineStr">
        <is>
          <t>黑云</t>
        </is>
      </c>
      <c r="G89" s="6" t="n"/>
      <c r="H89" s="7" t="n"/>
    </row>
    <row r="90" ht="14.15" customHeight="1" s="10">
      <c r="A90" s="4" t="inlineStr">
        <is>
          <t>黑云奥义：黑雾</t>
        </is>
      </c>
      <c r="B90" s="3" t="n">
        <v>1</v>
      </c>
      <c r="C90" s="4" t="inlineStr">
        <is>
          <t>稀有</t>
        </is>
      </c>
      <c r="D90" s="4" t="inlineStr">
        <is>
          <t>攻击</t>
        </is>
      </c>
      <c r="E90" s="6" t="inlineStr">
        <is>
          <t>造成7/9点伤害；黑云：每有一张技能牌额外攻击一次。</t>
        </is>
      </c>
      <c r="F90" s="4" t="inlineStr">
        <is>
          <t>黑云</t>
        </is>
      </c>
      <c r="G90" s="6" t="n"/>
      <c r="H90" s="7" t="n"/>
    </row>
    <row r="91" ht="14.15" customHeight="1" s="10">
      <c r="A91" s="11" t="inlineStr">
        <is>
          <t>月读</t>
        </is>
      </c>
      <c r="B91" s="3" t="n">
        <v>0</v>
      </c>
      <c r="C91" s="4" t="inlineStr">
        <is>
          <t>罕见</t>
        </is>
      </c>
      <c r="D91" s="4" t="inlineStr">
        <is>
          <t>技能</t>
        </is>
      </c>
      <c r="E91" s="11" t="inlineStr">
        <is>
          <t>本回合内攻击命中手中月影伤害+2/3</t>
        </is>
      </c>
      <c r="F91" s="4" t="inlineStr">
        <is>
          <t>月影</t>
        </is>
      </c>
      <c r="G91" s="6" t="n"/>
      <c r="H91" s="7" t="n"/>
    </row>
    <row r="92" ht="14.15" customHeight="1" s="10">
      <c r="A92" s="11" t="inlineStr">
        <is>
          <t>业火</t>
        </is>
      </c>
      <c r="B92" t="n">
        <v>1</v>
      </c>
      <c r="C92" t="inlineStr">
        <is>
          <t>罕见</t>
        </is>
      </c>
      <c r="D92" t="inlineStr">
        <is>
          <t>攻击</t>
        </is>
      </c>
      <c r="E92" s="11" t="inlineStr">
        <is>
          <t>固有，造成5点伤害，你攻击这个目标会时手中月影伤害+1</t>
        </is>
      </c>
      <c r="F92" t="inlineStr">
        <is>
          <t>月影</t>
        </is>
      </c>
    </row>
    <row r="93" ht="14.15" customHeight="1" s="10">
      <c r="A93" s="12" t="inlineStr">
        <is>
          <t>鬼怪狩猎</t>
        </is>
      </c>
      <c r="B93" t="n">
        <v>1</v>
      </c>
      <c r="C93" t="inlineStr">
        <is>
          <t>通常</t>
        </is>
      </c>
      <c r="D93" t="inlineStr">
        <is>
          <t>攻击</t>
        </is>
      </c>
      <c r="E93" s="12" t="inlineStr">
        <is>
          <t>造成2点伤害3次；凝聚1</t>
        </is>
      </c>
      <c r="F93" t="inlineStr">
        <is>
          <t>月影</t>
        </is>
      </c>
    </row>
    <row r="94" ht="14.15" customHeight="1" s="10"/>
    <row r="95" ht="14.15" customHeight="1" s="10"/>
    <row r="96" ht="14.15" customHeight="1" s="10"/>
    <row r="97" ht="14.15" customHeight="1" s="10"/>
    <row r="98" ht="14.15" customHeight="1" s="10"/>
    <row r="99" ht="14.15" customHeight="1" s="10"/>
    <row r="100" ht="14.15" customHeight="1" s="10"/>
    <row r="101" ht="14.15" customHeight="1" s="10"/>
    <row r="102" ht="14.15" customHeight="1" s="10"/>
    <row r="103" ht="14.15" customHeight="1" s="10"/>
    <row r="104" ht="14.15" customHeight="1" s="10"/>
    <row r="105" ht="14.15" customHeight="1" s="10"/>
    <row r="106" ht="14.15" customHeight="1" s="10"/>
    <row r="107" ht="14.15" customHeight="1" s="10"/>
    <row r="108" ht="14.15" customHeight="1" s="10"/>
    <row r="109" ht="14.15" customHeight="1" s="10"/>
    <row r="110" ht="14.15" customHeight="1" s="10"/>
    <row r="111" ht="14.15" customHeight="1" s="10"/>
    <row r="112" ht="14.15" customHeight="1" s="10"/>
    <row r="113" ht="14.15" customHeight="1" s="10"/>
    <row r="114" ht="14.15" customHeight="1" s="10"/>
    <row r="115" ht="14.15" customHeight="1" s="10"/>
    <row r="116" ht="14.15" customHeight="1" s="10"/>
    <row r="117" ht="14.15" customHeight="1" s="10"/>
    <row r="118" ht="14.15" customHeight="1" s="10"/>
    <row r="119" ht="14.15" customHeight="1" s="10"/>
    <row r="120" ht="14.15" customHeight="1" s="10"/>
    <row r="121" ht="14.15" customHeight="1" s="10"/>
    <row r="122" ht="14.15" customHeight="1" s="10"/>
    <row r="123" ht="14.15" customHeight="1" s="10"/>
    <row r="124" ht="14.15" customHeight="1" s="10"/>
    <row r="125" ht="14.15" customHeight="1" s="10"/>
    <row r="126" ht="14.15" customHeight="1" s="10"/>
    <row r="127" ht="14.15" customHeight="1" s="10"/>
    <row r="128" ht="14.15" customHeight="1" s="10"/>
    <row r="129" ht="14.15" customHeight="1" s="10"/>
    <row r="130" ht="14.15" customHeight="1" s="10"/>
    <row r="131" ht="14.15" customHeight="1" s="10"/>
    <row r="132" ht="14.15" customHeight="1" s="10"/>
    <row r="133" ht="14.15" customHeight="1" s="10"/>
    <row r="134" ht="14.15" customHeight="1" s="10"/>
    <row r="135" ht="14.15" customHeight="1" s="10"/>
    <row r="136" ht="14.15" customHeight="1" s="10"/>
    <row r="137" ht="14.15" customHeight="1" s="10"/>
    <row r="138" ht="14.15" customHeight="1" s="10"/>
    <row r="139" ht="14.15" customHeight="1" s="10"/>
    <row r="140" ht="14.15" customHeight="1" s="10"/>
    <row r="141" ht="14.15" customHeight="1" s="10"/>
    <row r="142" ht="14.15" customHeight="1" s="10"/>
    <row r="143" ht="14.15" customHeight="1" s="10"/>
    <row r="144" ht="14.15" customHeight="1" s="10"/>
    <row r="145" ht="14.15" customHeight="1" s="10"/>
    <row r="146" ht="14.15" customHeight="1" s="10"/>
    <row r="147" ht="14.15" customHeight="1" s="10"/>
    <row r="148" ht="14.15" customHeight="1" s="10"/>
    <row r="149" ht="14.15" customHeight="1" s="10"/>
    <row r="150" ht="14.15" customHeight="1" s="10"/>
    <row r="151" ht="14.15" customHeight="1" s="10"/>
    <row r="152" ht="14.15" customHeight="1" s="10"/>
    <row r="153" ht="14.15" customHeight="1" s="10"/>
    <row r="154" ht="14.15" customHeight="1" s="10"/>
    <row r="155" ht="14.15" customHeight="1" s="10"/>
    <row r="156" ht="14.15" customHeight="1" s="10"/>
    <row r="157" ht="14.15" customHeight="1" s="10"/>
    <row r="158" ht="14.15" customHeight="1" s="10"/>
    <row r="159" ht="14.15" customHeight="1" s="10"/>
    <row r="160" ht="14.15" customHeight="1" s="10"/>
    <row r="161" ht="14.15" customHeight="1" s="10"/>
    <row r="162" ht="14.15" customHeight="1" s="10"/>
    <row r="163" ht="14.15" customHeight="1" s="10"/>
    <row r="164" ht="14.15" customHeight="1" s="10"/>
    <row r="165" ht="14.15" customHeight="1" s="10"/>
    <row r="166" ht="14.15" customHeight="1" s="10"/>
    <row r="167" ht="14.15" customHeight="1" s="10"/>
    <row r="168" ht="14.15" customHeight="1" s="10"/>
    <row r="169" ht="14.15" customHeight="1" s="10"/>
    <row r="170" ht="14.15" customHeight="1" s="10"/>
    <row r="171" ht="14.15" customHeight="1" s="10"/>
    <row r="172" ht="14.15" customHeight="1" s="10"/>
    <row r="173" ht="14.15" customHeight="1" s="10"/>
    <row r="174" ht="14.15" customHeight="1" s="10"/>
    <row r="175" ht="14.15" customHeight="1" s="10"/>
    <row r="176" ht="14.15" customHeight="1" s="10"/>
    <row r="177" ht="14.15" customHeight="1" s="10"/>
    <row r="178" ht="14.15" customHeight="1" s="10"/>
    <row r="179" ht="14.15" customHeight="1" s="10"/>
    <row r="180" ht="14.15" customHeight="1" s="10"/>
    <row r="181" ht="14.15" customHeight="1" s="10"/>
    <row r="182" ht="14.15" customHeight="1" s="10"/>
    <row r="183" ht="14.15" customHeight="1" s="10"/>
    <row r="184" ht="14.15" customHeight="1" s="10"/>
    <row r="185" ht="14.15" customHeight="1" s="10"/>
    <row r="186" ht="14.15" customHeight="1" s="10"/>
    <row r="187" ht="14.15" customHeight="1" s="10"/>
    <row r="188" ht="14.15" customHeight="1" s="10"/>
    <row r="189" ht="14.15" customHeight="1" s="10"/>
    <row r="190" ht="14.15" customHeight="1" s="10"/>
    <row r="191" ht="14.15" customHeight="1" s="10"/>
    <row r="192" ht="14.15" customHeight="1" s="10"/>
    <row r="193" ht="14.15" customHeight="1" s="10"/>
    <row r="194" ht="14.15" customHeight="1" s="10"/>
    <row r="195" ht="14.15" customHeight="1" s="10"/>
    <row r="196" ht="14.15" customHeight="1" s="10"/>
    <row r="197" ht="14.15" customHeight="1" s="10"/>
    <row r="198" ht="14.15" customHeight="1" s="10"/>
    <row r="199" ht="14.15" customHeight="1" s="10"/>
    <row r="200" ht="14.15" customHeight="1" s="10"/>
  </sheetData>
  <dataValidations count="4">
    <dataValidation sqref="B2:B201" showDropDown="1" showInputMessage="0" showErrorMessage="1" allowBlank="1" error="费用列只允许输入数字。" type="whole">
      <formula1>0</formula1>
      <formula2>99</formula2>
    </dataValidation>
    <dataValidation sqref="C2:C201" showDropDown="0" showInputMessage="0" showErrorMessage="1" allowBlank="1" error="请输入一个列表中的值" type="list">
      <formula1>RarityOptions</formula1>
    </dataValidation>
    <dataValidation sqref="D2:D201" showDropDown="0" showInputMessage="0" showErrorMessage="1" allowBlank="1" error="请输入一个列表中的值" type="list">
      <formula1>KindOptions</formula1>
    </dataValidation>
    <dataValidation sqref="F2:F201" showDropDown="0" showInputMessage="0" showErrorMessage="1" allowBlank="1" error="请输入一个列表中的值" type="list">
      <formula1>FlowOptions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L4" sqref="L4"/>
    </sheetView>
  </sheetViews>
  <sheetFormatPr baseColWidth="8" defaultRowHeight="14.15"/>
  <cols>
    <col width="11.3046875" customWidth="1" style="10" min="1" max="1"/>
    <col width="10" customWidth="1" style="10" min="2" max="3"/>
    <col width="13" customWidth="1" style="10" min="4" max="12"/>
    <col width="10" customWidth="1" style="10" min="13" max="18"/>
  </cols>
  <sheetData>
    <row r="1" ht="14.15" customHeight="1" s="10">
      <c r="A1" s="9" t="inlineStr">
        <is>
          <t>流派</t>
        </is>
      </c>
      <c r="B1" s="9" t="inlineStr">
        <is>
          <t>数量</t>
        </is>
      </c>
      <c r="C1" s="9" t="inlineStr">
        <is>
          <t>初始</t>
        </is>
      </c>
      <c r="D1" s="9" t="inlineStr">
        <is>
          <t>通常</t>
        </is>
      </c>
      <c r="E1" s="9" t="inlineStr">
        <is>
          <t>罕见</t>
        </is>
      </c>
      <c r="F1" s="9" t="inlineStr">
        <is>
          <t>稀有</t>
        </is>
      </c>
      <c r="G1" s="9" t="inlineStr">
        <is>
          <t>Token</t>
        </is>
      </c>
      <c r="H1" s="9" t="inlineStr">
        <is>
          <t>先古</t>
        </is>
      </c>
      <c r="I1" s="9" t="inlineStr">
        <is>
          <t>未注明</t>
        </is>
      </c>
      <c r="J1" s="9" t="inlineStr">
        <is>
          <t>攻击</t>
        </is>
      </c>
      <c r="K1" s="9" t="inlineStr">
        <is>
          <t>技能</t>
        </is>
      </c>
      <c r="L1" s="9" t="inlineStr">
        <is>
          <t>能力</t>
        </is>
      </c>
    </row>
    <row r="2" ht="14.15" customHeight="1" s="10">
      <c r="A2" s="4" t="inlineStr">
        <is>
          <t>灵感</t>
        </is>
      </c>
      <c r="B2" s="4">
        <f>COUNTIF(卡牌表!$F:$F,"*"&amp;$A2&amp;"*")</f>
        <v/>
      </c>
      <c r="C2" s="4">
        <f>COUNTIFS(卡牌表!$F:$F,"*"&amp;$A2&amp;"*",卡牌表!$C:$C,C$1)</f>
        <v/>
      </c>
      <c r="D2" s="4">
        <f>COUNTIFS(卡牌表!$F:$F,"*"&amp;$A2&amp;"*",卡牌表!$C:$C,D$1)</f>
        <v/>
      </c>
      <c r="E2" s="4">
        <f>COUNTIFS(卡牌表!$F:$F,"*"&amp;$A2&amp;"*",卡牌表!$C:$C,E$1)</f>
        <v/>
      </c>
      <c r="F2" s="4">
        <f>COUNTIFS(卡牌表!$F:$F,"*"&amp;$A2&amp;"*",卡牌表!$C:$C,F$1)</f>
        <v/>
      </c>
      <c r="G2" s="4">
        <f>COUNTIFS(卡牌表!$F:$F,"*"&amp;$A2&amp;"*",卡牌表!$C:$C,G$1)</f>
        <v/>
      </c>
      <c r="H2" s="4">
        <f>COUNTIFS(卡牌表!$F:$F,"*"&amp;$A2&amp;"*",卡牌表!$C:$C,H$1)</f>
        <v/>
      </c>
      <c r="I2" s="4">
        <f>COUNTIFS(卡牌表!$F:$F,"*"&amp;$A2&amp;"*",卡牌表!$C:$C,I$1)</f>
        <v/>
      </c>
      <c r="J2" s="4">
        <f>COUNTIFS(卡牌表!$F:$F,"*"&amp;$A2&amp;"*",卡牌表!$D:$D,J$1)</f>
        <v/>
      </c>
      <c r="K2" s="4">
        <f>COUNTIFS(卡牌表!$F:$F,"*"&amp;$A2&amp;"*",卡牌表!$D:$D,K$1)</f>
        <v/>
      </c>
      <c r="L2" s="4">
        <f>COUNTIFS(卡牌表!$F:$F,"*"&amp;$A2&amp;"*",卡牌表!$D:$D,L$1)</f>
        <v/>
      </c>
    </row>
    <row r="3" ht="14.15" customHeight="1" s="10">
      <c r="A3" s="4" t="inlineStr">
        <is>
          <t>月影</t>
        </is>
      </c>
      <c r="B3" s="4">
        <f>COUNTIF(卡牌表!$F:$F,"*"&amp;$A3&amp;"*")</f>
        <v/>
      </c>
      <c r="C3" s="4">
        <f>COUNTIFS(卡牌表!$F:$F,"*"&amp;$A3&amp;"*",卡牌表!$C:$C,C$1)</f>
        <v/>
      </c>
      <c r="D3" s="4">
        <f>COUNTIFS(卡牌表!$F:$F,"*"&amp;$A3&amp;"*",卡牌表!$C:$C,D$1)</f>
        <v/>
      </c>
      <c r="E3" s="4">
        <f>COUNTIFS(卡牌表!$F:$F,"*"&amp;$A3&amp;"*",卡牌表!$C:$C,E$1)</f>
        <v/>
      </c>
      <c r="F3" s="4">
        <f>COUNTIFS(卡牌表!$F:$F,"*"&amp;$A3&amp;"*",卡牌表!$C:$C,F$1)</f>
        <v/>
      </c>
      <c r="G3" s="4">
        <f>COUNTIFS(卡牌表!$F:$F,"*"&amp;$A3&amp;"*",卡牌表!$C:$C,G$1)</f>
        <v/>
      </c>
      <c r="H3" s="4">
        <f>COUNTIFS(卡牌表!$F:$F,"*"&amp;$A3&amp;"*",卡牌表!$C:$C,H$1)</f>
        <v/>
      </c>
      <c r="I3" s="4">
        <f>COUNTIFS(卡牌表!$F:$F,"*"&amp;$A3&amp;"*",卡牌表!$C:$C,I$1)</f>
        <v/>
      </c>
      <c r="J3" s="4">
        <f>COUNTIFS(卡牌表!$F:$F,"*"&amp;$A3&amp;"*",卡牌表!$D:$D,J$1)</f>
        <v/>
      </c>
      <c r="K3" s="4">
        <f>COUNTIFS(卡牌表!$F:$F,"*"&amp;$A3&amp;"*",卡牌表!$D:$D,K$1)</f>
        <v/>
      </c>
      <c r="L3" s="4">
        <f>COUNTIFS(卡牌表!$F:$F,"*"&amp;$A3&amp;"*",卡牌表!$D:$D,L$1)</f>
        <v/>
      </c>
    </row>
    <row r="4" ht="14.15" customHeight="1" s="10">
      <c r="A4" s="4" t="inlineStr">
        <is>
          <t>黑云</t>
        </is>
      </c>
      <c r="B4" s="4">
        <f>COUNTIF(卡牌表!$F:$F,"*"&amp;$A4&amp;"*")</f>
        <v/>
      </c>
      <c r="C4" s="4">
        <f>COUNTIFS(卡牌表!$F:$F,"*"&amp;$A4&amp;"*",卡牌表!$C:$C,C$1)</f>
        <v/>
      </c>
      <c r="D4" s="4">
        <f>COUNTIFS(卡牌表!$F:$F,"*"&amp;$A4&amp;"*",卡牌表!$C:$C,D$1)</f>
        <v/>
      </c>
      <c r="E4" s="4">
        <f>COUNTIFS(卡牌表!$F:$F,"*"&amp;$A4&amp;"*",卡牌表!$C:$C,E$1)</f>
        <v/>
      </c>
      <c r="F4" s="4">
        <f>COUNTIFS(卡牌表!$F:$F,"*"&amp;$A4&amp;"*",卡牌表!$C:$C,F$1)</f>
        <v/>
      </c>
      <c r="G4" s="4">
        <f>COUNTIFS(卡牌表!$F:$F,"*"&amp;$A4&amp;"*",卡牌表!$C:$C,G$1)</f>
        <v/>
      </c>
      <c r="H4" s="4">
        <f>COUNTIFS(卡牌表!$F:$F,"*"&amp;$A4&amp;"*",卡牌表!$C:$C,H$1)</f>
        <v/>
      </c>
      <c r="I4" s="4">
        <f>COUNTIFS(卡牌表!$F:$F,"*"&amp;$A4&amp;"*",卡牌表!$C:$C,I$1)</f>
        <v/>
      </c>
      <c r="J4" s="4">
        <f>COUNTIFS(卡牌表!$F:$F,"*"&amp;$A4&amp;"*",卡牌表!$D:$D,J$1)</f>
        <v/>
      </c>
      <c r="K4" s="4">
        <f>COUNTIFS(卡牌表!$F:$F,"*"&amp;$A4&amp;"*",卡牌表!$D:$D,K$1)</f>
        <v/>
      </c>
      <c r="L4" s="4">
        <f>COUNTIFS(卡牌表!$F:$F,"*"&amp;$A4&amp;"*",卡牌表!$D:$D,L$1)</f>
        <v/>
      </c>
    </row>
    <row r="5" ht="14.15" customHeight="1" s="10">
      <c r="A5" s="4" t="inlineStr">
        <is>
          <t>其他</t>
        </is>
      </c>
      <c r="B5" s="4">
        <f>COUNTIF(卡牌表!$F:$F,"*"&amp;$A5&amp;"*")</f>
        <v/>
      </c>
      <c r="C5" s="4">
        <f>COUNTIFS(卡牌表!$F:$F,"*"&amp;$A5&amp;"*",卡牌表!$C:$C,C$1)</f>
        <v/>
      </c>
      <c r="D5" s="4">
        <f>COUNTIFS(卡牌表!$F:$F,"*"&amp;$A5&amp;"*",卡牌表!$C:$C,D$1)</f>
        <v/>
      </c>
      <c r="E5" s="4">
        <f>COUNTIFS(卡牌表!$F:$F,"*"&amp;$A5&amp;"*",卡牌表!$C:$C,E$1)</f>
        <v/>
      </c>
      <c r="F5" s="4">
        <f>COUNTIFS(卡牌表!$F:$F,"*"&amp;$A5&amp;"*",卡牌表!$C:$C,F$1)</f>
        <v/>
      </c>
      <c r="G5" s="4">
        <f>COUNTIFS(卡牌表!$F:$F,"*"&amp;$A5&amp;"*",卡牌表!$C:$C,G$1)</f>
        <v/>
      </c>
      <c r="H5" s="4">
        <f>COUNTIFS(卡牌表!$F:$F,"*"&amp;$A5&amp;"*",卡牌表!$C:$C,H$1)</f>
        <v/>
      </c>
      <c r="I5" s="4">
        <f>COUNTIFS(卡牌表!$F:$F,"*"&amp;$A5&amp;"*",卡牌表!$C:$C,I$1)</f>
        <v/>
      </c>
      <c r="J5" s="4">
        <f>COUNTIFS(卡牌表!$F:$F,"*"&amp;$A5&amp;"*",卡牌表!$D:$D,J$1)</f>
        <v/>
      </c>
      <c r="K5" s="4">
        <f>COUNTIFS(卡牌表!$F:$F,"*"&amp;$A5&amp;"*",卡牌表!$D:$D,K$1)</f>
        <v/>
      </c>
      <c r="L5" s="4">
        <f>COUNTIFS(卡牌表!$F:$F,"*"&amp;$A5&amp;"*",卡牌表!$D:$D,L$1)</f>
        <v/>
      </c>
    </row>
    <row r="6" ht="14.15" customHeight="1" s="10"/>
    <row r="7" ht="14.15" customHeight="1" s="10"/>
    <row r="8" ht="14.15" customHeight="1" s="10"/>
    <row r="9" ht="14.15" customHeight="1" s="10"/>
    <row r="10" ht="14.15" customHeight="1" s="10"/>
    <row r="11" ht="14.15" customHeight="1" s="10"/>
    <row r="12" ht="14.15" customHeight="1" s="10"/>
    <row r="13" ht="14.15" customHeight="1" s="10"/>
    <row r="14" ht="14.15" customHeight="1" s="10"/>
    <row r="15" ht="14.15" customHeight="1" s="10"/>
    <row r="16" ht="14.15" customHeight="1" s="10"/>
    <row r="17" ht="14.15" customHeight="1" s="10"/>
    <row r="18" ht="14.15" customHeight="1" s="10"/>
    <row r="19" ht="14.15" customHeight="1" s="10"/>
    <row r="20" ht="14.15" customHeight="1" s="10"/>
    <row r="21" ht="14.15" customHeight="1" s="10"/>
    <row r="22" ht="14.15" customHeight="1" s="10"/>
    <row r="23" ht="14.15" customHeight="1" s="10"/>
    <row r="24" ht="14.15" customHeight="1" s="10"/>
    <row r="25" ht="14.15" customHeight="1" s="10"/>
    <row r="26" ht="14.15" customHeight="1" s="10"/>
    <row r="27" ht="14.15" customHeight="1" s="10"/>
    <row r="28" ht="14.15" customHeight="1" s="10"/>
    <row r="29" ht="14.15" customHeight="1" s="10"/>
    <row r="30" ht="14.15" customHeight="1" s="10"/>
    <row r="31" ht="14.15" customHeight="1" s="10"/>
    <row r="32" ht="14.15" customHeight="1" s="10"/>
    <row r="33" ht="14.15" customHeight="1" s="10"/>
    <row r="34" ht="14.15" customHeight="1" s="10"/>
    <row r="35" ht="14.15" customHeight="1" s="10"/>
    <row r="36" ht="14.15" customHeight="1" s="10"/>
    <row r="37" ht="14.15" customHeight="1" s="10"/>
    <row r="38" ht="14.15" customHeight="1" s="10"/>
    <row r="39" ht="14.15" customHeight="1" s="10"/>
    <row r="40" ht="14.15" customHeight="1" s="10"/>
    <row r="41" ht="14.15" customHeight="1" s="10"/>
    <row r="42" ht="14.15" customHeight="1" s="10"/>
    <row r="43" ht="14.15" customHeight="1" s="10"/>
    <row r="44" ht="14.15" customHeight="1" s="10"/>
    <row r="45" ht="14.15" customHeight="1" s="10"/>
    <row r="46" ht="14.15" customHeight="1" s="10"/>
    <row r="47" ht="14.15" customHeight="1" s="10"/>
    <row r="48" ht="14.15" customHeight="1" s="10"/>
    <row r="49" ht="14.15" customHeight="1" s="10"/>
    <row r="50" ht="14.15" customHeight="1" s="10"/>
    <row r="51" ht="14.15" customHeight="1" s="10"/>
    <row r="52" ht="14.15" customHeight="1" s="10"/>
    <row r="53" ht="14.15" customHeight="1" s="10"/>
    <row r="54" ht="14.15" customHeight="1" s="10"/>
    <row r="55" ht="14.15" customHeight="1" s="10"/>
    <row r="56" ht="14.15" customHeight="1" s="10"/>
    <row r="57" ht="14.15" customHeight="1" s="10"/>
    <row r="58" ht="14.15" customHeight="1" s="10"/>
    <row r="59" ht="14.15" customHeight="1" s="10"/>
    <row r="60" ht="14.15" customHeight="1" s="10"/>
    <row r="61" ht="14.15" customHeight="1" s="10"/>
    <row r="62" ht="14.15" customHeight="1" s="10"/>
    <row r="63" ht="14.15" customHeight="1" s="10"/>
    <row r="64" ht="14.15" customHeight="1" s="10"/>
    <row r="65" ht="14.15" customHeight="1" s="10"/>
    <row r="66" ht="14.15" customHeight="1" s="10"/>
    <row r="67" ht="14.15" customHeight="1" s="10"/>
    <row r="68" ht="14.15" customHeight="1" s="10"/>
    <row r="69" ht="14.15" customHeight="1" s="10"/>
    <row r="70" ht="14.15" customHeight="1" s="10"/>
    <row r="71" ht="14.15" customHeight="1" s="10"/>
    <row r="72" ht="14.15" customHeight="1" s="10"/>
    <row r="73" ht="14.15" customHeight="1" s="10"/>
    <row r="74" ht="14.15" customHeight="1" s="10"/>
    <row r="75" ht="14.15" customHeight="1" s="10"/>
    <row r="76" ht="14.15" customHeight="1" s="10"/>
    <row r="77" ht="14.15" customHeight="1" s="10"/>
    <row r="78" ht="14.15" customHeight="1" s="10"/>
    <row r="79" ht="14.15" customHeight="1" s="10"/>
    <row r="80" ht="14.15" customHeight="1" s="10"/>
    <row r="81" ht="14.15" customHeight="1" s="10"/>
    <row r="82" ht="14.15" customHeight="1" s="10"/>
    <row r="83" ht="14.15" customHeight="1" s="10"/>
    <row r="84" ht="14.15" customHeight="1" s="10"/>
    <row r="85" ht="14.15" customHeight="1" s="10"/>
    <row r="86" ht="14.15" customHeight="1" s="10"/>
    <row r="87" ht="14.15" customHeight="1" s="10"/>
    <row r="88" ht="14.15" customHeight="1" s="10"/>
    <row r="89" ht="14.15" customHeight="1" s="10"/>
    <row r="90" ht="14.15" customHeight="1" s="10"/>
    <row r="91" ht="14.15" customHeight="1" s="10"/>
    <row r="92" ht="14.15" customHeight="1" s="10"/>
    <row r="93" ht="14.15" customHeight="1" s="10"/>
    <row r="94" ht="14.15" customHeight="1" s="10"/>
    <row r="95" ht="14.15" customHeight="1" s="10"/>
    <row r="96" ht="14.15" customHeight="1" s="10"/>
    <row r="97" ht="14.15" customHeight="1" s="10"/>
    <row r="98" ht="14.15" customHeight="1" s="10"/>
    <row r="99" ht="14.15" customHeight="1" s="10"/>
    <row r="100" ht="14.15" customHeight="1" s="10"/>
    <row r="101" ht="14.15" customHeight="1" s="10"/>
    <row r="102" ht="14.15" customHeight="1" s="10"/>
    <row r="103" ht="14.15" customHeight="1" s="10"/>
    <row r="104" ht="14.15" customHeight="1" s="10"/>
    <row r="105" ht="14.15" customHeight="1" s="10"/>
    <row r="106" ht="14.15" customHeight="1" s="10"/>
    <row r="107" ht="14.15" customHeight="1" s="10"/>
    <row r="108" ht="14.15" customHeight="1" s="10"/>
    <row r="109" ht="14.15" customHeight="1" s="10"/>
    <row r="110" ht="14.15" customHeight="1" s="10"/>
    <row r="111" ht="14.15" customHeight="1" s="10"/>
    <row r="112" ht="14.15" customHeight="1" s="10"/>
    <row r="113" ht="14.15" customHeight="1" s="10"/>
    <row r="114" ht="14.15" customHeight="1" s="10"/>
    <row r="115" ht="14.15" customHeight="1" s="10"/>
    <row r="116" ht="14.15" customHeight="1" s="10"/>
    <row r="117" ht="14.15" customHeight="1" s="10"/>
    <row r="118" ht="14.15" customHeight="1" s="10"/>
    <row r="119" ht="14.15" customHeight="1" s="10"/>
    <row r="120" ht="14.15" customHeight="1" s="10"/>
    <row r="121" ht="14.15" customHeight="1" s="10"/>
    <row r="122" ht="14.15" customHeight="1" s="10"/>
    <row r="123" ht="14.15" customHeight="1" s="10"/>
    <row r="124" ht="14.15" customHeight="1" s="10"/>
    <row r="125" ht="14.15" customHeight="1" s="10"/>
    <row r="126" ht="14.15" customHeight="1" s="10"/>
    <row r="127" ht="14.15" customHeight="1" s="10"/>
    <row r="128" ht="14.15" customHeight="1" s="10"/>
    <row r="129" ht="14.15" customHeight="1" s="10"/>
    <row r="130" ht="14.15" customHeight="1" s="10"/>
    <row r="131" ht="14.15" customHeight="1" s="10"/>
    <row r="132" ht="14.15" customHeight="1" s="10"/>
    <row r="133" ht="14.15" customHeight="1" s="10"/>
    <row r="134" ht="14.15" customHeight="1" s="10"/>
    <row r="135" ht="14.15" customHeight="1" s="10"/>
    <row r="136" ht="14.15" customHeight="1" s="10"/>
    <row r="137" ht="14.15" customHeight="1" s="10"/>
    <row r="138" ht="14.15" customHeight="1" s="10"/>
    <row r="139" ht="14.15" customHeight="1" s="10"/>
    <row r="140" ht="14.15" customHeight="1" s="10"/>
    <row r="141" ht="14.15" customHeight="1" s="10"/>
    <row r="142" ht="14.15" customHeight="1" s="10"/>
    <row r="143" ht="14.15" customHeight="1" s="10"/>
    <row r="144" ht="14.15" customHeight="1" s="10"/>
    <row r="145" ht="14.15" customHeight="1" s="10"/>
    <row r="146" ht="14.15" customHeight="1" s="10"/>
    <row r="147" ht="14.15" customHeight="1" s="10"/>
    <row r="148" ht="14.15" customHeight="1" s="10"/>
    <row r="149" ht="14.15" customHeight="1" s="10"/>
    <row r="150" ht="14.15" customHeight="1" s="10"/>
    <row r="151" ht="14.15" customHeight="1" s="10"/>
    <row r="152" ht="14.15" customHeight="1" s="10"/>
    <row r="153" ht="14.15" customHeight="1" s="10"/>
    <row r="154" ht="14.15" customHeight="1" s="10"/>
    <row r="155" ht="14.15" customHeight="1" s="10"/>
    <row r="156" ht="14.15" customHeight="1" s="10"/>
    <row r="157" ht="14.15" customHeight="1" s="10"/>
    <row r="158" ht="14.15" customHeight="1" s="10"/>
    <row r="159" ht="14.15" customHeight="1" s="10"/>
    <row r="160" ht="14.15" customHeight="1" s="10"/>
    <row r="161" ht="14.15" customHeight="1" s="10"/>
    <row r="162" ht="14.15" customHeight="1" s="10"/>
    <row r="163" ht="14.15" customHeight="1" s="10"/>
    <row r="164" ht="14.15" customHeight="1" s="10"/>
    <row r="165" ht="14.15" customHeight="1" s="10"/>
    <row r="166" ht="14.15" customHeight="1" s="10"/>
    <row r="167" ht="14.15" customHeight="1" s="10"/>
    <row r="168" ht="14.15" customHeight="1" s="10"/>
    <row r="169" ht="14.15" customHeight="1" s="10"/>
    <row r="170" ht="14.15" customHeight="1" s="10"/>
    <row r="171" ht="14.15" customHeight="1" s="10"/>
    <row r="172" ht="14.15" customHeight="1" s="10"/>
    <row r="173" ht="14.15" customHeight="1" s="10"/>
    <row r="174" ht="14.15" customHeight="1" s="10"/>
    <row r="175" ht="14.15" customHeight="1" s="10"/>
    <row r="176" ht="14.15" customHeight="1" s="10"/>
    <row r="177" ht="14.15" customHeight="1" s="10"/>
    <row r="178" ht="14.15" customHeight="1" s="10"/>
    <row r="179" ht="14.15" customHeight="1" s="10"/>
    <row r="180" ht="14.15" customHeight="1" s="10"/>
    <row r="181" ht="14.15" customHeight="1" s="10"/>
    <row r="182" ht="14.15" customHeight="1" s="10"/>
    <row r="183" ht="14.15" customHeight="1" s="10"/>
    <row r="184" ht="14.15" customHeight="1" s="10"/>
    <row r="185" ht="14.15" customHeight="1" s="10"/>
    <row r="186" ht="14.15" customHeight="1" s="10"/>
    <row r="187" ht="14.15" customHeight="1" s="10"/>
    <row r="188" ht="14.15" customHeight="1" s="10"/>
    <row r="189" ht="14.15" customHeight="1" s="10"/>
    <row r="190" ht="14.15" customHeight="1" s="10"/>
    <row r="191" ht="14.15" customHeight="1" s="10"/>
    <row r="192" ht="14.15" customHeight="1" s="10"/>
    <row r="193" ht="14.15" customHeight="1" s="10"/>
    <row r="194" ht="14.15" customHeight="1" s="10"/>
    <row r="195" ht="14.15" customHeight="1" s="10"/>
    <row r="196" ht="14.15" customHeight="1" s="10"/>
    <row r="197" ht="14.15" customHeight="1" s="10"/>
    <row r="198" ht="14.15" customHeight="1" s="10"/>
    <row r="199" ht="14.15" customHeight="1" s="10"/>
    <row r="200" ht="14.15" customHeight="1" s="10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D17" sqref="D17"/>
    </sheetView>
  </sheetViews>
  <sheetFormatPr baseColWidth="8" defaultRowHeight="14.15"/>
  <cols>
    <col width="11.3046875" customWidth="1" style="10" min="1" max="1"/>
    <col width="10" customWidth="1" style="10" min="2" max="3"/>
    <col width="13" customWidth="1" style="10" min="4" max="10"/>
    <col width="10" customWidth="1" style="10" min="11" max="18"/>
  </cols>
  <sheetData>
    <row r="1" ht="14.15" customHeight="1" s="10">
      <c r="A1" s="9" t="inlineStr">
        <is>
          <t>稀有度</t>
        </is>
      </c>
      <c r="B1" s="9" t="inlineStr">
        <is>
          <t>数量</t>
        </is>
      </c>
      <c r="C1" s="9" t="inlineStr">
        <is>
          <t>目标</t>
        </is>
      </c>
      <c r="D1" s="9" t="inlineStr">
        <is>
          <t>灵感</t>
        </is>
      </c>
      <c r="E1" s="9" t="inlineStr">
        <is>
          <t>月影</t>
        </is>
      </c>
      <c r="F1" s="9" t="inlineStr">
        <is>
          <t>黑云</t>
        </is>
      </c>
      <c r="G1" s="9" t="inlineStr">
        <is>
          <t>其他</t>
        </is>
      </c>
      <c r="H1" s="9" t="inlineStr">
        <is>
          <t>攻击</t>
        </is>
      </c>
      <c r="I1" s="9" t="inlineStr">
        <is>
          <t>技能</t>
        </is>
      </c>
      <c r="J1" s="9" t="inlineStr">
        <is>
          <t>能力</t>
        </is>
      </c>
    </row>
    <row r="2" ht="14.15" customHeight="1" s="10">
      <c r="A2" s="4" t="inlineStr">
        <is>
          <t>初始</t>
        </is>
      </c>
      <c r="B2" s="4">
        <f>COUNTIF(卡牌表!$C:$C,$A2)</f>
        <v/>
      </c>
      <c r="C2" s="4" t="n">
        <v>2</v>
      </c>
      <c r="D2" s="4">
        <f>COUNTIFS(卡牌表!$C:$C,$A2,卡牌表!$F:$F,"*"&amp;D$1&amp;"*")</f>
        <v/>
      </c>
      <c r="E2" s="4">
        <f>COUNTIFS(卡牌表!$C:$C,$A2,卡牌表!$F:$F,"*"&amp;E$1&amp;"*")</f>
        <v/>
      </c>
      <c r="F2" s="4">
        <f>COUNTIFS(卡牌表!$C:$C,$A2,卡牌表!$F:$F,"*"&amp;F$1&amp;"*")</f>
        <v/>
      </c>
      <c r="G2" s="4">
        <f>COUNTIFS(卡牌表!$C:$C,$A2,卡牌表!$F:$F,"*"&amp;G$1&amp;"*")</f>
        <v/>
      </c>
      <c r="H2" s="4">
        <f>COUNTIFS(卡牌表!$C:$C,$A2,卡牌表!$D:$D,H$1)</f>
        <v/>
      </c>
      <c r="I2" s="4">
        <f>COUNTIFS(卡牌表!$C:$C,$A2,卡牌表!$D:$D,I$1)</f>
        <v/>
      </c>
      <c r="J2" s="4">
        <f>COUNTIFS(卡牌表!$C:$C,$A2,卡牌表!$D:$D,J$1)</f>
        <v/>
      </c>
    </row>
    <row r="3" ht="14.15" customHeight="1" s="10">
      <c r="A3" s="4" t="inlineStr">
        <is>
          <t>通常</t>
        </is>
      </c>
      <c r="B3" s="4">
        <f>COUNTIF(卡牌表!$C:$C,$A3)</f>
        <v/>
      </c>
      <c r="C3" s="4" t="n">
        <v>24</v>
      </c>
      <c r="D3" s="4">
        <f>COUNTIFS(卡牌表!$C:$C,$A3,卡牌表!$F:$F,"*"&amp;D$1&amp;"*")</f>
        <v/>
      </c>
      <c r="E3" s="4">
        <f>COUNTIFS(卡牌表!$C:$C,$A3,卡牌表!$F:$F,"*"&amp;E$1&amp;"*")</f>
        <v/>
      </c>
      <c r="F3" s="4">
        <f>COUNTIFS(卡牌表!$C:$C,$A3,卡牌表!$F:$F,"*"&amp;F$1&amp;"*")</f>
        <v/>
      </c>
      <c r="G3" s="4">
        <f>COUNTIFS(卡牌表!$C:$C,$A3,卡牌表!$F:$F,"*"&amp;G$1&amp;"*")</f>
        <v/>
      </c>
      <c r="H3" s="4">
        <f>COUNTIFS(卡牌表!$C:$C,$A3,卡牌表!$D:$D,H$1)</f>
        <v/>
      </c>
      <c r="I3" s="4">
        <f>COUNTIFS(卡牌表!$C:$C,$A3,卡牌表!$D:$D,I$1)</f>
        <v/>
      </c>
      <c r="J3" s="4">
        <f>COUNTIFS(卡牌表!$C:$C,$A3,卡牌表!$D:$D,J$1)</f>
        <v/>
      </c>
    </row>
    <row r="4" ht="14.15" customHeight="1" s="10">
      <c r="A4" s="4" t="inlineStr">
        <is>
          <t>罕见</t>
        </is>
      </c>
      <c r="B4" s="4">
        <f>COUNTIF(卡牌表!$C:$C,$A4)</f>
        <v/>
      </c>
      <c r="C4" s="4" t="n">
        <v>36</v>
      </c>
      <c r="D4" s="4">
        <f>COUNTIFS(卡牌表!$C:$C,$A4,卡牌表!$F:$F,"*"&amp;D$1&amp;"*")</f>
        <v/>
      </c>
      <c r="E4" s="4">
        <f>COUNTIFS(卡牌表!$C:$C,$A4,卡牌表!$F:$F,"*"&amp;E$1&amp;"*")</f>
        <v/>
      </c>
      <c r="F4" s="4">
        <f>COUNTIFS(卡牌表!$C:$C,$A4,卡牌表!$F:$F,"*"&amp;F$1&amp;"*")</f>
        <v/>
      </c>
      <c r="G4" s="4">
        <f>COUNTIFS(卡牌表!$C:$C,$A4,卡牌表!$F:$F,"*"&amp;G$1&amp;"*")</f>
        <v/>
      </c>
      <c r="H4" s="4">
        <f>COUNTIFS(卡牌表!$C:$C,$A4,卡牌表!$D:$D,H$1)</f>
        <v/>
      </c>
      <c r="I4" s="4">
        <f>COUNTIFS(卡牌表!$C:$C,$A4,卡牌表!$D:$D,I$1)</f>
        <v/>
      </c>
      <c r="J4" s="4">
        <f>COUNTIFS(卡牌表!$C:$C,$A4,卡牌表!$D:$D,J$1)</f>
        <v/>
      </c>
    </row>
    <row r="5" ht="14.15" customHeight="1" s="10">
      <c r="A5" s="4" t="inlineStr">
        <is>
          <t>稀有</t>
        </is>
      </c>
      <c r="B5" s="4">
        <f>COUNTIF(卡牌表!$C:$C,$A5)</f>
        <v/>
      </c>
      <c r="C5" s="4" t="n">
        <v>21</v>
      </c>
      <c r="D5" s="4">
        <f>COUNTIFS(卡牌表!$C:$C,$A5,卡牌表!$F:$F,"*"&amp;D$1&amp;"*")</f>
        <v/>
      </c>
      <c r="E5" s="4">
        <f>COUNTIFS(卡牌表!$C:$C,$A5,卡牌表!$F:$F,"*"&amp;E$1&amp;"*")</f>
        <v/>
      </c>
      <c r="F5" s="4">
        <f>COUNTIFS(卡牌表!$C:$C,$A5,卡牌表!$F:$F,"*"&amp;F$1&amp;"*")</f>
        <v/>
      </c>
      <c r="G5" s="4">
        <f>COUNTIFS(卡牌表!$C:$C,$A5,卡牌表!$F:$F,"*"&amp;G$1&amp;"*")</f>
        <v/>
      </c>
      <c r="H5" s="4">
        <f>COUNTIFS(卡牌表!$C:$C,$A5,卡牌表!$D:$D,H$1)</f>
        <v/>
      </c>
      <c r="I5" s="4">
        <f>COUNTIFS(卡牌表!$C:$C,$A5,卡牌表!$D:$D,I$1)</f>
        <v/>
      </c>
      <c r="J5" s="4">
        <f>COUNTIFS(卡牌表!$C:$C,$A5,卡牌表!$D:$D,J$1)</f>
        <v/>
      </c>
    </row>
    <row r="6" ht="14.15" customHeight="1" s="10">
      <c r="A6" s="4" t="inlineStr">
        <is>
          <t>Token</t>
        </is>
      </c>
      <c r="B6" s="4">
        <f>COUNTIF(卡牌表!$C:$C,$A6)</f>
        <v/>
      </c>
      <c r="C6" s="4" t="n">
        <v>0</v>
      </c>
      <c r="D6" s="4">
        <f>COUNTIFS(卡牌表!$C:$C,$A6,卡牌表!$F:$F,"*"&amp;D$1&amp;"*")</f>
        <v/>
      </c>
      <c r="E6" s="4">
        <f>COUNTIFS(卡牌表!$C:$C,$A6,卡牌表!$F:$F,"*"&amp;E$1&amp;"*")</f>
        <v/>
      </c>
      <c r="F6" s="4">
        <f>COUNTIFS(卡牌表!$C:$C,$A6,卡牌表!$F:$F,"*"&amp;F$1&amp;"*")</f>
        <v/>
      </c>
      <c r="G6" s="4">
        <f>COUNTIFS(卡牌表!$C:$C,$A6,卡牌表!$F:$F,"*"&amp;G$1&amp;"*")</f>
        <v/>
      </c>
      <c r="H6" s="4">
        <f>COUNTIFS(卡牌表!$C:$C,$A6,卡牌表!$D:$D,H$1)</f>
        <v/>
      </c>
      <c r="I6" s="4">
        <f>COUNTIFS(卡牌表!$C:$C,$A6,卡牌表!$D:$D,I$1)</f>
        <v/>
      </c>
      <c r="J6" s="4">
        <f>COUNTIFS(卡牌表!$C:$C,$A6,卡牌表!$D:$D,J$1)</f>
        <v/>
      </c>
    </row>
    <row r="7" ht="14.15" customHeight="1" s="10">
      <c r="A7" s="4" t="inlineStr">
        <is>
          <t>先古</t>
        </is>
      </c>
      <c r="B7" s="4">
        <f>COUNTIF(卡牌表!$C:$C,$A7)</f>
        <v/>
      </c>
      <c r="C7" s="4" t="n">
        <v>2</v>
      </c>
      <c r="D7" s="4">
        <f>COUNTIFS(卡牌表!$C:$C,$A7,卡牌表!$F:$F,"*"&amp;D$1&amp;"*")</f>
        <v/>
      </c>
      <c r="E7" s="4">
        <f>COUNTIFS(卡牌表!$C:$C,$A7,卡牌表!$F:$F,"*"&amp;E$1&amp;"*")</f>
        <v/>
      </c>
      <c r="F7" s="4">
        <f>COUNTIFS(卡牌表!$C:$C,$A7,卡牌表!$F:$F,"*"&amp;F$1&amp;"*")</f>
        <v/>
      </c>
      <c r="G7" s="4">
        <f>COUNTIFS(卡牌表!$C:$C,$A7,卡牌表!$F:$F,"*"&amp;G$1&amp;"*")</f>
        <v/>
      </c>
      <c r="H7" s="4">
        <f>COUNTIFS(卡牌表!$C:$C,$A7,卡牌表!$D:$D,H$1)</f>
        <v/>
      </c>
      <c r="I7" s="4">
        <f>COUNTIFS(卡牌表!$C:$C,$A7,卡牌表!$D:$D,I$1)</f>
        <v/>
      </c>
      <c r="J7" s="4">
        <f>COUNTIFS(卡牌表!$C:$C,$A7,卡牌表!$D:$D,J$1)</f>
        <v/>
      </c>
    </row>
    <row r="8" ht="14.15" customHeight="1" s="10">
      <c r="A8" s="4" t="inlineStr">
        <is>
          <t>未注明</t>
        </is>
      </c>
      <c r="B8" s="4">
        <f>COUNTIF(卡牌表!$C:$C,$A8)</f>
        <v/>
      </c>
      <c r="C8" s="4" t="n">
        <v>0</v>
      </c>
      <c r="D8" s="4">
        <f>COUNTIFS(卡牌表!$C:$C,$A8,卡牌表!$F:$F,"*"&amp;D$1&amp;"*")</f>
        <v/>
      </c>
      <c r="E8" s="4">
        <f>COUNTIFS(卡牌表!$C:$C,$A8,卡牌表!$F:$F,"*"&amp;E$1&amp;"*")</f>
        <v/>
      </c>
      <c r="F8" s="4">
        <f>COUNTIFS(卡牌表!$C:$C,$A8,卡牌表!$F:$F,"*"&amp;F$1&amp;"*")</f>
        <v/>
      </c>
      <c r="G8" s="4">
        <f>COUNTIFS(卡牌表!$C:$C,$A8,卡牌表!$F:$F,"*"&amp;G$1&amp;"*")</f>
        <v/>
      </c>
      <c r="H8" s="4">
        <f>COUNTIFS(卡牌表!$C:$C,$A8,卡牌表!$D:$D,H$1)</f>
        <v/>
      </c>
      <c r="I8" s="4">
        <f>COUNTIFS(卡牌表!$C:$C,$A8,卡牌表!$D:$D,I$1)</f>
        <v/>
      </c>
      <c r="J8" s="4">
        <f>COUNTIFS(卡牌表!$C:$C,$A8,卡牌表!$D:$D,J$1)</f>
        <v/>
      </c>
    </row>
    <row r="9" ht="14.15" customHeight="1" s="10"/>
    <row r="10" ht="14.15" customHeight="1" s="10"/>
    <row r="11" ht="14.15" customHeight="1" s="10"/>
    <row r="12" ht="14.15" customHeight="1" s="10"/>
    <row r="13" ht="14.15" customHeight="1" s="10"/>
    <row r="14" ht="14.15" customHeight="1" s="10"/>
    <row r="15" ht="14.15" customHeight="1" s="10"/>
    <row r="16" ht="14.15" customHeight="1" s="10"/>
    <row r="17" ht="14.15" customHeight="1" s="10"/>
    <row r="18" ht="14.15" customHeight="1" s="10"/>
    <row r="19" ht="14.15" customHeight="1" s="10"/>
    <row r="20" ht="14.15" customHeight="1" s="10"/>
    <row r="21" ht="14.15" customHeight="1" s="10"/>
    <row r="22" ht="14.15" customHeight="1" s="10"/>
    <row r="23" ht="14.15" customHeight="1" s="10"/>
    <row r="24" ht="14.15" customHeight="1" s="10"/>
    <row r="25" ht="14.15" customHeight="1" s="10"/>
    <row r="26" ht="14.15" customHeight="1" s="10"/>
    <row r="27" ht="14.15" customHeight="1" s="10"/>
    <row r="28" ht="14.15" customHeight="1" s="10"/>
    <row r="29" ht="14.15" customHeight="1" s="10"/>
    <row r="30" ht="14.15" customHeight="1" s="10"/>
    <row r="31" ht="14.15" customHeight="1" s="10"/>
    <row r="32" ht="14.15" customHeight="1" s="10"/>
    <row r="33" ht="14.15" customHeight="1" s="10"/>
    <row r="34" ht="14.15" customHeight="1" s="10"/>
    <row r="35" ht="14.15" customHeight="1" s="10"/>
    <row r="36" ht="14.15" customHeight="1" s="10"/>
    <row r="37" ht="14.15" customHeight="1" s="10"/>
    <row r="38" ht="14.15" customHeight="1" s="10"/>
    <row r="39" ht="14.15" customHeight="1" s="10"/>
    <row r="40" ht="14.15" customHeight="1" s="10"/>
    <row r="41" ht="14.15" customHeight="1" s="10"/>
    <row r="42" ht="14.15" customHeight="1" s="10"/>
    <row r="43" ht="14.15" customHeight="1" s="10"/>
    <row r="44" ht="14.15" customHeight="1" s="10"/>
    <row r="45" ht="14.15" customHeight="1" s="10"/>
    <row r="46" ht="14.15" customHeight="1" s="10"/>
    <row r="47" ht="14.15" customHeight="1" s="10"/>
    <row r="48" ht="14.15" customHeight="1" s="10"/>
    <row r="49" ht="14.15" customHeight="1" s="10"/>
    <row r="50" ht="14.15" customHeight="1" s="10"/>
    <row r="51" ht="14.15" customHeight="1" s="10"/>
    <row r="52" ht="14.15" customHeight="1" s="10"/>
    <row r="53" ht="14.15" customHeight="1" s="10"/>
    <row r="54" ht="14.15" customHeight="1" s="10"/>
    <row r="55" ht="14.15" customHeight="1" s="10"/>
    <row r="56" ht="14.15" customHeight="1" s="10"/>
    <row r="57" ht="14.15" customHeight="1" s="10"/>
    <row r="58" ht="14.15" customHeight="1" s="10"/>
    <row r="59" ht="14.15" customHeight="1" s="10"/>
    <row r="60" ht="14.15" customHeight="1" s="10"/>
    <row r="61" ht="14.15" customHeight="1" s="10"/>
    <row r="62" ht="14.15" customHeight="1" s="10"/>
    <row r="63" ht="14.15" customHeight="1" s="10"/>
    <row r="64" ht="14.15" customHeight="1" s="10"/>
    <row r="65" ht="14.15" customHeight="1" s="10"/>
    <row r="66" ht="14.15" customHeight="1" s="10"/>
    <row r="67" ht="14.15" customHeight="1" s="10"/>
    <row r="68" ht="14.15" customHeight="1" s="10"/>
    <row r="69" ht="14.15" customHeight="1" s="10"/>
    <row r="70" ht="14.15" customHeight="1" s="10"/>
    <row r="71" ht="14.15" customHeight="1" s="10"/>
    <row r="72" ht="14.15" customHeight="1" s="10"/>
    <row r="73" ht="14.15" customHeight="1" s="10"/>
    <row r="74" ht="14.15" customHeight="1" s="10"/>
    <row r="75" ht="14.15" customHeight="1" s="10"/>
    <row r="76" ht="14.15" customHeight="1" s="10"/>
    <row r="77" ht="14.15" customHeight="1" s="10"/>
    <row r="78" ht="14.15" customHeight="1" s="10"/>
    <row r="79" ht="14.15" customHeight="1" s="10"/>
    <row r="80" ht="14.15" customHeight="1" s="10"/>
    <row r="81" ht="14.15" customHeight="1" s="10"/>
    <row r="82" ht="14.15" customHeight="1" s="10"/>
    <row r="83" ht="14.15" customHeight="1" s="10"/>
    <row r="84" ht="14.15" customHeight="1" s="10"/>
    <row r="85" ht="14.15" customHeight="1" s="10"/>
    <row r="86" ht="14.15" customHeight="1" s="10"/>
    <row r="87" ht="14.15" customHeight="1" s="10"/>
    <row r="88" ht="14.15" customHeight="1" s="10"/>
    <row r="89" ht="14.15" customHeight="1" s="10"/>
    <row r="90" ht="14.15" customHeight="1" s="10"/>
    <row r="91" ht="14.15" customHeight="1" s="10"/>
    <row r="92" ht="14.15" customHeight="1" s="10"/>
    <row r="93" ht="14.15" customHeight="1" s="10"/>
    <row r="94" ht="14.15" customHeight="1" s="10"/>
    <row r="95" ht="14.15" customHeight="1" s="10"/>
    <row r="96" ht="14.15" customHeight="1" s="10"/>
    <row r="97" ht="14.15" customHeight="1" s="10"/>
    <row r="98" ht="14.15" customHeight="1" s="10"/>
    <row r="99" ht="14.15" customHeight="1" s="10"/>
    <row r="100" ht="14.15" customHeight="1" s="10"/>
    <row r="101" ht="14.15" customHeight="1" s="10"/>
    <row r="102" ht="14.15" customHeight="1" s="10"/>
    <row r="103" ht="14.15" customHeight="1" s="10"/>
    <row r="104" ht="14.15" customHeight="1" s="10"/>
    <row r="105" ht="14.15" customHeight="1" s="10"/>
    <row r="106" ht="14.15" customHeight="1" s="10"/>
    <row r="107" ht="14.15" customHeight="1" s="10"/>
    <row r="108" ht="14.15" customHeight="1" s="10"/>
    <row r="109" ht="14.15" customHeight="1" s="10"/>
    <row r="110" ht="14.15" customHeight="1" s="10"/>
    <row r="111" ht="14.15" customHeight="1" s="10"/>
    <row r="112" ht="14.15" customHeight="1" s="10"/>
    <row r="113" ht="14.15" customHeight="1" s="10"/>
    <row r="114" ht="14.15" customHeight="1" s="10"/>
    <row r="115" ht="14.15" customHeight="1" s="10"/>
    <row r="116" ht="14.15" customHeight="1" s="10"/>
    <row r="117" ht="14.15" customHeight="1" s="10"/>
    <row r="118" ht="14.15" customHeight="1" s="10"/>
    <row r="119" ht="14.15" customHeight="1" s="10"/>
    <row r="120" ht="14.15" customHeight="1" s="10"/>
    <row r="121" ht="14.15" customHeight="1" s="10"/>
    <row r="122" ht="14.15" customHeight="1" s="10"/>
    <row r="123" ht="14.15" customHeight="1" s="10"/>
    <row r="124" ht="14.15" customHeight="1" s="10"/>
    <row r="125" ht="14.15" customHeight="1" s="10"/>
    <row r="126" ht="14.15" customHeight="1" s="10"/>
    <row r="127" ht="14.15" customHeight="1" s="10"/>
    <row r="128" ht="14.15" customHeight="1" s="10"/>
    <row r="129" ht="14.15" customHeight="1" s="10"/>
    <row r="130" ht="14.15" customHeight="1" s="10"/>
    <row r="131" ht="14.15" customHeight="1" s="10"/>
    <row r="132" ht="14.15" customHeight="1" s="10"/>
    <row r="133" ht="14.15" customHeight="1" s="10"/>
    <row r="134" ht="14.15" customHeight="1" s="10"/>
    <row r="135" ht="14.15" customHeight="1" s="10"/>
    <row r="136" ht="14.15" customHeight="1" s="10"/>
    <row r="137" ht="14.15" customHeight="1" s="10"/>
    <row r="138" ht="14.15" customHeight="1" s="10"/>
    <row r="139" ht="14.15" customHeight="1" s="10"/>
    <row r="140" ht="14.15" customHeight="1" s="10"/>
    <row r="141" ht="14.15" customHeight="1" s="10"/>
    <row r="142" ht="14.15" customHeight="1" s="10"/>
    <row r="143" ht="14.15" customHeight="1" s="10"/>
    <row r="144" ht="14.15" customHeight="1" s="10"/>
    <row r="145" ht="14.15" customHeight="1" s="10"/>
    <row r="146" ht="14.15" customHeight="1" s="10"/>
    <row r="147" ht="14.15" customHeight="1" s="10"/>
    <row r="148" ht="14.15" customHeight="1" s="10"/>
    <row r="149" ht="14.15" customHeight="1" s="10"/>
    <row r="150" ht="14.15" customHeight="1" s="10"/>
    <row r="151" ht="14.15" customHeight="1" s="10"/>
    <row r="152" ht="14.15" customHeight="1" s="10"/>
    <row r="153" ht="14.15" customHeight="1" s="10"/>
    <row r="154" ht="14.15" customHeight="1" s="10"/>
    <row r="155" ht="14.15" customHeight="1" s="10"/>
    <row r="156" ht="14.15" customHeight="1" s="10"/>
    <row r="157" ht="14.15" customHeight="1" s="10"/>
    <row r="158" ht="14.15" customHeight="1" s="10"/>
    <row r="159" ht="14.15" customHeight="1" s="10"/>
    <row r="160" ht="14.15" customHeight="1" s="10"/>
    <row r="161" ht="14.15" customHeight="1" s="10"/>
    <row r="162" ht="14.15" customHeight="1" s="10"/>
    <row r="163" ht="14.15" customHeight="1" s="10"/>
    <row r="164" ht="14.15" customHeight="1" s="10"/>
    <row r="165" ht="14.15" customHeight="1" s="10"/>
    <row r="166" ht="14.15" customHeight="1" s="10"/>
    <row r="167" ht="14.15" customHeight="1" s="10"/>
    <row r="168" ht="14.15" customHeight="1" s="10"/>
    <row r="169" ht="14.15" customHeight="1" s="10"/>
    <row r="170" ht="14.15" customHeight="1" s="10"/>
    <row r="171" ht="14.15" customHeight="1" s="10"/>
    <row r="172" ht="14.15" customHeight="1" s="10"/>
    <row r="173" ht="14.15" customHeight="1" s="10"/>
    <row r="174" ht="14.15" customHeight="1" s="10"/>
    <row r="175" ht="14.15" customHeight="1" s="10"/>
    <row r="176" ht="14.15" customHeight="1" s="10"/>
    <row r="177" ht="14.15" customHeight="1" s="10"/>
    <row r="178" ht="14.15" customHeight="1" s="10"/>
    <row r="179" ht="14.15" customHeight="1" s="10"/>
    <row r="180" ht="14.15" customHeight="1" s="10"/>
    <row r="181" ht="14.15" customHeight="1" s="10"/>
    <row r="182" ht="14.15" customHeight="1" s="10"/>
    <row r="183" ht="14.15" customHeight="1" s="10"/>
    <row r="184" ht="14.15" customHeight="1" s="10"/>
    <row r="185" ht="14.15" customHeight="1" s="10"/>
    <row r="186" ht="14.15" customHeight="1" s="10"/>
    <row r="187" ht="14.15" customHeight="1" s="10"/>
    <row r="188" ht="14.15" customHeight="1" s="10"/>
    <row r="189" ht="14.15" customHeight="1" s="10"/>
    <row r="190" ht="14.15" customHeight="1" s="10"/>
    <row r="191" ht="14.15" customHeight="1" s="10"/>
    <row r="192" ht="14.15" customHeight="1" s="10"/>
    <row r="193" ht="14.15" customHeight="1" s="10"/>
    <row r="194" ht="14.15" customHeight="1" s="10"/>
    <row r="195" ht="14.15" customHeight="1" s="10"/>
    <row r="196" ht="14.15" customHeight="1" s="10"/>
    <row r="197" ht="14.15" customHeight="1" s="10"/>
    <row r="198" ht="14.15" customHeight="1" s="10"/>
    <row r="199" ht="14.15" customHeight="1" s="10"/>
    <row r="200" ht="14.15" customHeight="1" s="10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J4" sqref="J4"/>
    </sheetView>
  </sheetViews>
  <sheetFormatPr baseColWidth="8" defaultRowHeight="14.15"/>
  <cols>
    <col width="11.3046875" customWidth="1" style="10" min="1" max="1"/>
    <col width="10" customWidth="1" style="10" min="2" max="3"/>
    <col width="13" customWidth="1" style="10" min="4" max="13"/>
    <col width="10" customWidth="1" style="10" min="14" max="18"/>
  </cols>
  <sheetData>
    <row r="1" ht="14.15" customHeight="1" s="10">
      <c r="A1" s="9" t="inlineStr">
        <is>
          <t>种类</t>
        </is>
      </c>
      <c r="B1" s="9" t="inlineStr">
        <is>
          <t>数量</t>
        </is>
      </c>
      <c r="C1" s="9" t="inlineStr">
        <is>
          <t>初始</t>
        </is>
      </c>
      <c r="D1" s="9" t="inlineStr">
        <is>
          <t>通常</t>
        </is>
      </c>
      <c r="E1" s="9" t="inlineStr">
        <is>
          <t>罕见</t>
        </is>
      </c>
      <c r="F1" s="9" t="inlineStr">
        <is>
          <t>稀有</t>
        </is>
      </c>
      <c r="G1" s="9" t="inlineStr">
        <is>
          <t>Token</t>
        </is>
      </c>
      <c r="H1" s="9" t="inlineStr">
        <is>
          <t>先古</t>
        </is>
      </c>
      <c r="I1" s="9" t="inlineStr">
        <is>
          <t>未注明</t>
        </is>
      </c>
      <c r="J1" s="9" t="inlineStr">
        <is>
          <t>灵感</t>
        </is>
      </c>
      <c r="K1" s="9" t="inlineStr">
        <is>
          <t>月影</t>
        </is>
      </c>
      <c r="L1" s="9" t="inlineStr">
        <is>
          <t>黑云</t>
        </is>
      </c>
      <c r="M1" s="9" t="inlineStr">
        <is>
          <t>其他</t>
        </is>
      </c>
    </row>
    <row r="2" ht="14.15" customHeight="1" s="10">
      <c r="A2" s="4" t="inlineStr">
        <is>
          <t>攻击</t>
        </is>
      </c>
      <c r="B2" s="4">
        <f>COUNTIF(卡牌表!$D:$D,$A2)</f>
        <v/>
      </c>
      <c r="C2" s="4">
        <f>COUNTIFS(卡牌表!$D:$D,$A2,卡牌表!$C:$C,C$1)</f>
        <v/>
      </c>
      <c r="D2" s="4">
        <f>COUNTIFS(卡牌表!$D:$D,$A2,卡牌表!$C:$C,D$1)</f>
        <v/>
      </c>
      <c r="E2" s="4">
        <f>COUNTIFS(卡牌表!$D:$D,$A2,卡牌表!$C:$C,E$1)</f>
        <v/>
      </c>
      <c r="F2" s="4">
        <f>COUNTIFS(卡牌表!$D:$D,$A2,卡牌表!$C:$C,F$1)</f>
        <v/>
      </c>
      <c r="G2" s="4">
        <f>COUNTIFS(卡牌表!$D:$D,$A2,卡牌表!$C:$C,G$1)</f>
        <v/>
      </c>
      <c r="H2" s="4">
        <f>COUNTIFS(卡牌表!$D:$D,$A2,卡牌表!$C:$C,H$1)</f>
        <v/>
      </c>
      <c r="I2" s="4">
        <f>COUNTIFS(卡牌表!$D:$D,$A2,卡牌表!$C:$C,I$1)</f>
        <v/>
      </c>
      <c r="J2" s="4">
        <f>COUNTIFS(卡牌表!$D:$D,$A2,卡牌表!$F:$F,"*"&amp;J$1&amp;"*")</f>
        <v/>
      </c>
      <c r="K2" s="4">
        <f>COUNTIFS(卡牌表!$D:$D,$A2,卡牌表!$F:$F,"*"&amp;K$1&amp;"*")</f>
        <v/>
      </c>
      <c r="L2" s="4">
        <f>COUNTIFS(卡牌表!$D:$D,$A2,卡牌表!$F:$F,"*"&amp;L$1&amp;"*")</f>
        <v/>
      </c>
      <c r="M2" s="4">
        <f>COUNTIFS(卡牌表!$D:$D,$A2,卡牌表!$F:$F,"*"&amp;M$1&amp;"*")</f>
        <v/>
      </c>
    </row>
    <row r="3" ht="14.15" customHeight="1" s="10">
      <c r="A3" s="4" t="inlineStr">
        <is>
          <t>技能</t>
        </is>
      </c>
      <c r="B3" s="4">
        <f>COUNTIF(卡牌表!$D:$D,$A3)</f>
        <v/>
      </c>
      <c r="C3" s="4">
        <f>COUNTIFS(卡牌表!$D:$D,$A3,卡牌表!$C:$C,C$1)</f>
        <v/>
      </c>
      <c r="D3" s="4">
        <f>COUNTIFS(卡牌表!$D:$D,$A3,卡牌表!$C:$C,D$1)</f>
        <v/>
      </c>
      <c r="E3" s="4">
        <f>COUNTIFS(卡牌表!$D:$D,$A3,卡牌表!$C:$C,E$1)</f>
        <v/>
      </c>
      <c r="F3" s="4">
        <f>COUNTIFS(卡牌表!$D:$D,$A3,卡牌表!$C:$C,F$1)</f>
        <v/>
      </c>
      <c r="G3" s="4">
        <f>COUNTIFS(卡牌表!$D:$D,$A3,卡牌表!$C:$C,G$1)</f>
        <v/>
      </c>
      <c r="H3" s="4">
        <f>COUNTIFS(卡牌表!$D:$D,$A3,卡牌表!$C:$C,H$1)</f>
        <v/>
      </c>
      <c r="I3" s="4">
        <f>COUNTIFS(卡牌表!$D:$D,$A3,卡牌表!$C:$C,I$1)</f>
        <v/>
      </c>
      <c r="J3" s="4">
        <f>COUNTIFS(卡牌表!$D:$D,$A3,卡牌表!$F:$F,"*"&amp;J$1&amp;"*")</f>
        <v/>
      </c>
      <c r="K3" s="4">
        <f>COUNTIFS(卡牌表!$D:$D,$A3,卡牌表!$F:$F,"*"&amp;K$1&amp;"*")</f>
        <v/>
      </c>
      <c r="L3" s="4">
        <f>COUNTIFS(卡牌表!$D:$D,$A3,卡牌表!$F:$F,"*"&amp;L$1&amp;"*")</f>
        <v/>
      </c>
      <c r="M3" s="4">
        <f>COUNTIFS(卡牌表!$D:$D,$A3,卡牌表!$F:$F,"*"&amp;M$1&amp;"*")</f>
        <v/>
      </c>
    </row>
    <row r="4" ht="14.15" customHeight="1" s="10">
      <c r="A4" s="4" t="inlineStr">
        <is>
          <t>能力</t>
        </is>
      </c>
      <c r="B4" s="4">
        <f>COUNTIF(卡牌表!$D:$D,$A4)</f>
        <v/>
      </c>
      <c r="C4" s="4">
        <f>COUNTIFS(卡牌表!$D:$D,$A4,卡牌表!$C:$C,C$1)</f>
        <v/>
      </c>
      <c r="D4" s="4">
        <f>COUNTIFS(卡牌表!$D:$D,$A4,卡牌表!$C:$C,D$1)</f>
        <v/>
      </c>
      <c r="E4" s="4">
        <f>COUNTIFS(卡牌表!$D:$D,$A4,卡牌表!$C:$C,E$1)</f>
        <v/>
      </c>
      <c r="F4" s="4">
        <f>COUNTIFS(卡牌表!$D:$D,$A4,卡牌表!$C:$C,F$1)</f>
        <v/>
      </c>
      <c r="G4" s="4">
        <f>COUNTIFS(卡牌表!$D:$D,$A4,卡牌表!$C:$C,G$1)</f>
        <v/>
      </c>
      <c r="H4" s="4">
        <f>COUNTIFS(卡牌表!$D:$D,$A4,卡牌表!$C:$C,H$1)</f>
        <v/>
      </c>
      <c r="I4" s="4">
        <f>COUNTIFS(卡牌表!$D:$D,$A4,卡牌表!$C:$C,I$1)</f>
        <v/>
      </c>
      <c r="J4" s="4">
        <f>COUNTIFS(卡牌表!$D:$D,$A4,卡牌表!$F:$F,"*"&amp;J$1&amp;"*")</f>
        <v/>
      </c>
      <c r="K4" s="4">
        <f>COUNTIFS(卡牌表!$D:$D,$A4,卡牌表!$F:$F,"*"&amp;K$1&amp;"*")</f>
        <v/>
      </c>
      <c r="L4" s="4">
        <f>COUNTIFS(卡牌表!$D:$D,$A4,卡牌表!$F:$F,"*"&amp;L$1&amp;"*")</f>
        <v/>
      </c>
      <c r="M4" s="4">
        <f>COUNTIFS(卡牌表!$D:$D,$A4,卡牌表!$F:$F,"*"&amp;M$1&amp;"*")</f>
        <v/>
      </c>
    </row>
    <row r="5" ht="14.15" customHeight="1" s="10"/>
    <row r="6" ht="14.15" customHeight="1" s="10"/>
    <row r="7" ht="14.15" customHeight="1" s="10"/>
    <row r="8" ht="14.15" customHeight="1" s="10"/>
    <row r="9" ht="14.15" customHeight="1" s="10"/>
    <row r="10" ht="14.15" customHeight="1" s="10"/>
    <row r="11" ht="14.15" customHeight="1" s="10"/>
    <row r="12" ht="14.15" customHeight="1" s="10"/>
    <row r="13" ht="14.15" customHeight="1" s="10"/>
    <row r="14" ht="14.15" customHeight="1" s="10"/>
    <row r="15" ht="14.15" customHeight="1" s="10"/>
    <row r="16" ht="14.15" customHeight="1" s="10"/>
    <row r="17" ht="14.15" customHeight="1" s="10"/>
    <row r="18" ht="14.15" customHeight="1" s="10"/>
    <row r="19" ht="14.15" customHeight="1" s="10"/>
    <row r="20" ht="14.15" customHeight="1" s="10"/>
    <row r="21" ht="14.15" customHeight="1" s="10"/>
    <row r="22" ht="14.15" customHeight="1" s="10"/>
    <row r="23" ht="14.15" customHeight="1" s="10"/>
    <row r="24" ht="14.15" customHeight="1" s="10"/>
    <row r="25" ht="14.15" customHeight="1" s="10"/>
    <row r="26" ht="14.15" customHeight="1" s="10"/>
    <row r="27" ht="14.15" customHeight="1" s="10"/>
    <row r="28" ht="14.15" customHeight="1" s="10"/>
    <row r="29" ht="14.15" customHeight="1" s="10"/>
    <row r="30" ht="14.15" customHeight="1" s="10"/>
    <row r="31" ht="14.15" customHeight="1" s="10"/>
    <row r="32" ht="14.15" customHeight="1" s="10"/>
    <row r="33" ht="14.15" customHeight="1" s="10"/>
    <row r="34" ht="14.15" customHeight="1" s="10"/>
    <row r="35" ht="14.15" customHeight="1" s="10"/>
    <row r="36" ht="14.15" customHeight="1" s="10"/>
    <row r="37" ht="14.15" customHeight="1" s="10"/>
    <row r="38" ht="14.15" customHeight="1" s="10"/>
    <row r="39" ht="14.15" customHeight="1" s="10"/>
    <row r="40" ht="14.15" customHeight="1" s="10"/>
    <row r="41" ht="14.15" customHeight="1" s="10"/>
    <row r="42" ht="14.15" customHeight="1" s="10"/>
    <row r="43" ht="14.15" customHeight="1" s="10"/>
    <row r="44" ht="14.15" customHeight="1" s="10"/>
    <row r="45" ht="14.15" customHeight="1" s="10"/>
    <row r="46" ht="14.15" customHeight="1" s="10"/>
    <row r="47" ht="14.15" customHeight="1" s="10"/>
    <row r="48" ht="14.15" customHeight="1" s="10"/>
    <row r="49" ht="14.15" customHeight="1" s="10"/>
    <row r="50" ht="14.15" customHeight="1" s="10"/>
    <row r="51" ht="14.15" customHeight="1" s="10"/>
    <row r="52" ht="14.15" customHeight="1" s="10"/>
    <row r="53" ht="14.15" customHeight="1" s="10"/>
    <row r="54" ht="14.15" customHeight="1" s="10"/>
    <row r="55" ht="14.15" customHeight="1" s="10"/>
    <row r="56" ht="14.15" customHeight="1" s="10"/>
    <row r="57" ht="14.15" customHeight="1" s="10"/>
    <row r="58" ht="14.15" customHeight="1" s="10"/>
    <row r="59" ht="14.15" customHeight="1" s="10"/>
    <row r="60" ht="14.15" customHeight="1" s="10"/>
    <row r="61" ht="14.15" customHeight="1" s="10"/>
    <row r="62" ht="14.15" customHeight="1" s="10"/>
    <row r="63" ht="14.15" customHeight="1" s="10"/>
    <row r="64" ht="14.15" customHeight="1" s="10"/>
    <row r="65" ht="14.15" customHeight="1" s="10"/>
    <row r="66" ht="14.15" customHeight="1" s="10"/>
    <row r="67" ht="14.15" customHeight="1" s="10"/>
    <row r="68" ht="14.15" customHeight="1" s="10"/>
    <row r="69" ht="14.15" customHeight="1" s="10"/>
    <row r="70" ht="14.15" customHeight="1" s="10"/>
    <row r="71" ht="14.15" customHeight="1" s="10"/>
    <row r="72" ht="14.15" customHeight="1" s="10"/>
    <row r="73" ht="14.15" customHeight="1" s="10"/>
    <row r="74" ht="14.15" customHeight="1" s="10"/>
    <row r="75" ht="14.15" customHeight="1" s="10"/>
    <row r="76" ht="14.15" customHeight="1" s="10"/>
    <row r="77" ht="14.15" customHeight="1" s="10"/>
    <row r="78" ht="14.15" customHeight="1" s="10"/>
    <row r="79" ht="14.15" customHeight="1" s="10"/>
    <row r="80" ht="14.15" customHeight="1" s="10"/>
    <row r="81" ht="14.15" customHeight="1" s="10"/>
    <row r="82" ht="14.15" customHeight="1" s="10"/>
    <row r="83" ht="14.15" customHeight="1" s="10"/>
    <row r="84" ht="14.15" customHeight="1" s="10"/>
    <row r="85" ht="14.15" customHeight="1" s="10"/>
    <row r="86" ht="14.15" customHeight="1" s="10"/>
    <row r="87" ht="14.15" customHeight="1" s="10"/>
    <row r="88" ht="14.15" customHeight="1" s="10"/>
    <row r="89" ht="14.15" customHeight="1" s="10"/>
    <row r="90" ht="14.15" customHeight="1" s="10"/>
    <row r="91" ht="14.15" customHeight="1" s="10"/>
    <row r="92" ht="14.15" customHeight="1" s="10"/>
    <row r="93" ht="14.15" customHeight="1" s="10"/>
    <row r="94" ht="14.15" customHeight="1" s="10"/>
    <row r="95" ht="14.15" customHeight="1" s="10"/>
    <row r="96" ht="14.15" customHeight="1" s="10"/>
    <row r="97" ht="14.15" customHeight="1" s="10"/>
    <row r="98" ht="14.15" customHeight="1" s="10"/>
    <row r="99" ht="14.15" customHeight="1" s="10"/>
    <row r="100" ht="14.15" customHeight="1" s="10"/>
    <row r="101" ht="14.15" customHeight="1" s="10"/>
    <row r="102" ht="14.15" customHeight="1" s="10"/>
    <row r="103" ht="14.15" customHeight="1" s="10"/>
    <row r="104" ht="14.15" customHeight="1" s="10"/>
    <row r="105" ht="14.15" customHeight="1" s="10"/>
    <row r="106" ht="14.15" customHeight="1" s="10"/>
    <row r="107" ht="14.15" customHeight="1" s="10"/>
    <row r="108" ht="14.15" customHeight="1" s="10"/>
    <row r="109" ht="14.15" customHeight="1" s="10"/>
    <row r="110" ht="14.15" customHeight="1" s="10"/>
    <row r="111" ht="14.15" customHeight="1" s="10"/>
    <row r="112" ht="14.15" customHeight="1" s="10"/>
    <row r="113" ht="14.15" customHeight="1" s="10"/>
    <row r="114" ht="14.15" customHeight="1" s="10"/>
    <row r="115" ht="14.15" customHeight="1" s="10"/>
    <row r="116" ht="14.15" customHeight="1" s="10"/>
    <row r="117" ht="14.15" customHeight="1" s="10"/>
    <row r="118" ht="14.15" customHeight="1" s="10"/>
    <row r="119" ht="14.15" customHeight="1" s="10"/>
    <row r="120" ht="14.15" customHeight="1" s="10"/>
    <row r="121" ht="14.15" customHeight="1" s="10"/>
    <row r="122" ht="14.15" customHeight="1" s="10"/>
    <row r="123" ht="14.15" customHeight="1" s="10"/>
    <row r="124" ht="14.15" customHeight="1" s="10"/>
    <row r="125" ht="14.15" customHeight="1" s="10"/>
    <row r="126" ht="14.15" customHeight="1" s="10"/>
    <row r="127" ht="14.15" customHeight="1" s="10"/>
    <row r="128" ht="14.15" customHeight="1" s="10"/>
    <row r="129" ht="14.15" customHeight="1" s="10"/>
    <row r="130" ht="14.15" customHeight="1" s="10"/>
    <row r="131" ht="14.15" customHeight="1" s="10"/>
    <row r="132" ht="14.15" customHeight="1" s="10"/>
    <row r="133" ht="14.15" customHeight="1" s="10"/>
    <row r="134" ht="14.15" customHeight="1" s="10"/>
    <row r="135" ht="14.15" customHeight="1" s="10"/>
    <row r="136" ht="14.15" customHeight="1" s="10"/>
    <row r="137" ht="14.15" customHeight="1" s="10"/>
    <row r="138" ht="14.15" customHeight="1" s="10"/>
    <row r="139" ht="14.15" customHeight="1" s="10"/>
    <row r="140" ht="14.15" customHeight="1" s="10"/>
    <row r="141" ht="14.15" customHeight="1" s="10"/>
    <row r="142" ht="14.15" customHeight="1" s="10"/>
    <row r="143" ht="14.15" customHeight="1" s="10"/>
    <row r="144" ht="14.15" customHeight="1" s="10"/>
    <row r="145" ht="14.15" customHeight="1" s="10"/>
    <row r="146" ht="14.15" customHeight="1" s="10"/>
    <row r="147" ht="14.15" customHeight="1" s="10"/>
    <row r="148" ht="14.15" customHeight="1" s="10"/>
    <row r="149" ht="14.15" customHeight="1" s="10"/>
    <row r="150" ht="14.15" customHeight="1" s="10"/>
    <row r="151" ht="14.15" customHeight="1" s="10"/>
    <row r="152" ht="14.15" customHeight="1" s="10"/>
    <row r="153" ht="14.15" customHeight="1" s="10"/>
    <row r="154" ht="14.15" customHeight="1" s="10"/>
    <row r="155" ht="14.15" customHeight="1" s="10"/>
    <row r="156" ht="14.15" customHeight="1" s="10"/>
    <row r="157" ht="14.15" customHeight="1" s="10"/>
    <row r="158" ht="14.15" customHeight="1" s="10"/>
    <row r="159" ht="14.15" customHeight="1" s="10"/>
    <row r="160" ht="14.15" customHeight="1" s="10"/>
    <row r="161" ht="14.15" customHeight="1" s="10"/>
    <row r="162" ht="14.15" customHeight="1" s="10"/>
    <row r="163" ht="14.15" customHeight="1" s="10"/>
    <row r="164" ht="14.15" customHeight="1" s="10"/>
    <row r="165" ht="14.15" customHeight="1" s="10"/>
    <row r="166" ht="14.15" customHeight="1" s="10"/>
    <row r="167" ht="14.15" customHeight="1" s="10"/>
    <row r="168" ht="14.15" customHeight="1" s="10"/>
    <row r="169" ht="14.15" customHeight="1" s="10"/>
    <row r="170" ht="14.15" customHeight="1" s="10"/>
    <row r="171" ht="14.15" customHeight="1" s="10"/>
    <row r="172" ht="14.15" customHeight="1" s="10"/>
    <row r="173" ht="14.15" customHeight="1" s="10"/>
    <row r="174" ht="14.15" customHeight="1" s="10"/>
    <row r="175" ht="14.15" customHeight="1" s="10"/>
    <row r="176" ht="14.15" customHeight="1" s="10"/>
    <row r="177" ht="14.15" customHeight="1" s="10"/>
    <row r="178" ht="14.15" customHeight="1" s="10"/>
    <row r="179" ht="14.15" customHeight="1" s="10"/>
    <row r="180" ht="14.15" customHeight="1" s="10"/>
    <row r="181" ht="14.15" customHeight="1" s="10"/>
    <row r="182" ht="14.15" customHeight="1" s="10"/>
    <row r="183" ht="14.15" customHeight="1" s="10"/>
    <row r="184" ht="14.15" customHeight="1" s="10"/>
    <row r="185" ht="14.15" customHeight="1" s="10"/>
    <row r="186" ht="14.15" customHeight="1" s="10"/>
    <row r="187" ht="14.15" customHeight="1" s="10"/>
    <row r="188" ht="14.15" customHeight="1" s="10"/>
    <row r="189" ht="14.15" customHeight="1" s="10"/>
    <row r="190" ht="14.15" customHeight="1" s="10"/>
    <row r="191" ht="14.15" customHeight="1" s="10"/>
    <row r="192" ht="14.15" customHeight="1" s="10"/>
    <row r="193" ht="14.15" customHeight="1" s="10"/>
    <row r="194" ht="14.15" customHeight="1" s="10"/>
    <row r="195" ht="14.15" customHeight="1" s="10"/>
    <row r="196" ht="14.15" customHeight="1" s="10"/>
    <row r="197" ht="14.15" customHeight="1" s="10"/>
    <row r="198" ht="14.15" customHeight="1" s="10"/>
    <row r="199" ht="14.15" customHeight="1" s="10"/>
    <row r="200" ht="14.15" customHeight="1" s="10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4.15"/>
  <cols>
    <col width="15.3046875" customWidth="1" style="10" min="1" max="1"/>
    <col width="71.3046875" customWidth="1" style="10" min="2" max="2"/>
    <col width="15.3046875" customWidth="1" style="10" min="3" max="3"/>
    <col width="8" customWidth="1" style="10" min="4" max="18"/>
  </cols>
  <sheetData>
    <row r="1" ht="14.15" customHeight="1" s="10">
      <c r="A1" s="9" t="inlineStr">
        <is>
          <t>项目</t>
        </is>
      </c>
      <c r="B1" s="9" t="inlineStr">
        <is>
          <t>内容</t>
        </is>
      </c>
      <c r="C1" s="9" t="n"/>
    </row>
    <row r="2" ht="14.15" customHeight="1" s="10">
      <c r="A2" s="4" t="inlineStr">
        <is>
          <t>灵感</t>
        </is>
      </c>
      <c r="B2" s="6" t="inlineStr">
        <is>
          <t>回合开始以外、抽卡以外的方式把卡牌加入手中，会解锁额外效果。</t>
        </is>
      </c>
    </row>
    <row r="3" ht="14.15" customHeight="1" s="10">
      <c r="A3" s="4" t="inlineStr">
        <is>
          <t>黑云</t>
        </is>
      </c>
      <c r="B3" s="6" t="inlineStr">
        <is>
          <t>当你处于黑云姿态时触发卡的额外效果。否则进入黑云姿态</t>
        </is>
      </c>
    </row>
    <row r="4" ht="14.15" customHeight="1" s="10">
      <c r="A4" s="4" t="inlineStr">
        <is>
          <t>黑云姿态</t>
        </is>
      </c>
      <c r="B4" s="6" t="inlineStr">
        <is>
          <t>你的牌可以触发黑云效果，使用攻击牌以外的卡会退出黑云姿态。</t>
        </is>
      </c>
    </row>
    <row r="5" ht="14.15" customHeight="1" s="10">
      <c r="A5" s="4" t="inlineStr">
        <is>
          <t>凝聚</t>
        </is>
      </c>
      <c r="B5" s="6" t="inlineStr">
        <is>
          <t>手中的月影费用+1，获得重放1；如果手中没有月影，获得一张月影。</t>
        </is>
      </c>
    </row>
    <row r="6" ht="14.15" customHeight="1" s="10">
      <c r="A6" s="4" t="inlineStr">
        <is>
          <t>月影</t>
        </is>
      </c>
      <c r="B6" s="6" t="inlineStr">
        <is>
          <t>0费，造成5点伤害，其他攻击命中时伤害+1。（当前造成x点伤害）保留。</t>
        </is>
      </c>
    </row>
    <row r="7" ht="14.15" customHeight="1" s="10">
      <c r="A7" s="4" t="inlineStr">
        <is>
          <t>预见</t>
        </is>
      </c>
      <c r="B7" s="6" t="inlineStr">
        <is>
          <t>观察牌组顶部x张卡牌，选择任意数量丢弃。</t>
        </is>
      </c>
    </row>
    <row r="8" ht="14.15" customHeight="1" s="10">
      <c r="A8" s="4" t="inlineStr">
        <is>
          <t>月影吊坠</t>
        </is>
      </c>
      <c r="B8" s="6" t="inlineStr">
        <is>
          <t>战斗开始时，[gold]凝聚[/gold]1。</t>
        </is>
      </c>
      <c r="C8" t="inlineStr">
        <is>
          <t>初始遗物</t>
        </is>
      </c>
    </row>
    <row r="9" ht="14.15" customHeight="1" s="10">
      <c r="A9" t="inlineStr">
        <is>
          <t>月影吊坠+</t>
        </is>
      </c>
      <c r="B9" s="6" t="inlineStr">
        <is>
          <t>战斗开始时，[gold]凝聚[/gold]2。你的[gold]月影[/gold]费用-1。</t>
        </is>
      </c>
      <c r="C9" t="inlineStr">
        <is>
          <t>初始遗物升级</t>
        </is>
      </c>
    </row>
    <row r="10" ht="14.15" customHeight="1" s="10">
      <c r="A10" t="inlineStr">
        <is>
          <t>黑云戒指</t>
        </is>
      </c>
      <c r="B10" s="6" t="inlineStr">
        <is>
          <t>战斗开始时，进入[gold]黑云姿态[/gold]。</t>
        </is>
      </c>
      <c r="C10" t="inlineStr">
        <is>
          <t>普通</t>
        </is>
      </c>
    </row>
    <row r="11" ht="14.15" customHeight="1" s="10">
      <c r="A11" t="inlineStr">
        <is>
          <t>灵感项链</t>
        </is>
      </c>
      <c r="B11" s="6" t="inlineStr">
        <is>
          <t>每当[gold]灵感[/gold]触发时，对随机敌人造成2点伤害。</t>
        </is>
      </c>
      <c r="C11" t="inlineStr">
        <is>
          <t>罕见</t>
        </is>
      </c>
    </row>
    <row r="12" ht="14.15" customHeight="1" s="10">
      <c r="A12" t="inlineStr">
        <is>
          <t>月影手环</t>
        </is>
      </c>
      <c r="B12" s="6" t="inlineStr">
        <is>
          <t>回合结束时，若手中有[gold]月影[/gold]，获得2点格挡。</t>
        </is>
      </c>
      <c r="C12" t="inlineStr">
        <is>
          <t>罕见</t>
        </is>
      </c>
    </row>
    <row r="13" ht="14.15" customHeight="1" s="10">
      <c r="A13" t="inlineStr">
        <is>
          <t>灵感冰鞋</t>
        </is>
      </c>
      <c r="B13" s="6" t="inlineStr">
        <is>
          <t>战斗开始时，手中的[gold]灵感[/gold]牌获得灵感。</t>
        </is>
      </c>
      <c r="C13" t="inlineStr">
        <is>
          <t>稀有</t>
        </is>
      </c>
    </row>
    <row r="14" ht="14.15" customHeight="1" s="10">
      <c r="A14" t="inlineStr">
        <is>
          <t>黑云刀鞘</t>
        </is>
      </c>
      <c r="B14" s="6" t="inlineStr">
        <is>
          <t>处于[gold]黑云姿态[/gold]时，获得2点力量。</t>
        </is>
      </c>
      <c r="C14" t="inlineStr">
        <is>
          <t>稀有</t>
        </is>
      </c>
    </row>
    <row r="15" ht="14.15" customHeight="1" s="10">
      <c r="A15" t="inlineStr">
        <is>
          <t>月影束带</t>
        </is>
      </c>
      <c r="B15" s="6" t="inlineStr">
        <is>
          <t>回合结束时，你手中的[gold]月影[/gold]伤害+2。</t>
        </is>
      </c>
      <c r="C15" t="inlineStr">
        <is>
          <t>稀有</t>
        </is>
      </c>
    </row>
    <row r="16" ht="14.15" customHeight="1" s="10">
      <c r="A16" t="inlineStr">
        <is>
          <t>冰雪手镯</t>
        </is>
      </c>
      <c r="B16" s="6" t="inlineStr">
        <is>
          <t>每回合随机触发一张手牌中的[gold]灵感[/gold]牌。</t>
        </is>
      </c>
      <c r="C16" t="inlineStr">
        <is>
          <t>商店</t>
        </is>
      </c>
    </row>
    <row r="17" ht="28.3" customHeight="1" s="10">
      <c r="A17" s="4" t="inlineStr">
        <is>
          <t>雪</t>
        </is>
      </c>
      <c r="B17" s="6" t="inlineStr">
        <is>
          <t>你的月和花获得灵感：抽1张牌，当你同时拥有雪月花时移除3个能力将一张居合加入手牌</t>
        </is>
      </c>
      <c r="C17" s="4" t="inlineStr">
        <is>
          <t>不可叠加</t>
        </is>
      </c>
    </row>
    <row r="18" ht="28.3" customHeight="1" s="10">
      <c r="A18" s="4" t="inlineStr">
        <is>
          <t>月</t>
        </is>
      </c>
      <c r="B18" s="6" t="inlineStr">
        <is>
          <t>你的雪和花会为月影增加2点伤害，当你同时拥有雪月花时移除3个能力将一张居合加入手牌</t>
        </is>
      </c>
      <c r="C18" s="4" t="inlineStr">
        <is>
          <t>不可叠加</t>
        </is>
      </c>
    </row>
    <row r="19" ht="28.3" customHeight="1" s="10">
      <c r="A19" s="4" t="inlineStr">
        <is>
          <t>花</t>
        </is>
      </c>
      <c r="B19" s="6" t="inlineStr">
        <is>
          <t>你的雪和月获得黑云：额外攻击一次，当你同时拥有雪月花时移除3个能力将一张居合加入手牌</t>
        </is>
      </c>
      <c r="C19" s="4" t="inlineStr">
        <is>
          <t>不可叠加</t>
        </is>
      </c>
    </row>
    <row r="20" ht="14.15" customHeight="1" s="10"/>
    <row r="21" ht="14.15" customHeight="1" s="10"/>
    <row r="22" ht="14.15" customHeight="1" s="10"/>
    <row r="23" ht="14.15" customHeight="1" s="10"/>
    <row r="24" ht="14.15" customHeight="1" s="10"/>
    <row r="25" ht="14.15" customHeight="1" s="10"/>
    <row r="26" ht="14.15" customHeight="1" s="10"/>
    <row r="27" ht="14.15" customHeight="1" s="10"/>
    <row r="28" ht="14.15" customHeight="1" s="10"/>
    <row r="29" ht="14.15" customHeight="1" s="10"/>
    <row r="30" ht="14.15" customHeight="1" s="10"/>
    <row r="31" ht="14.15" customHeight="1" s="10"/>
    <row r="32" ht="14.15" customHeight="1" s="10"/>
    <row r="33" ht="14.15" customHeight="1" s="10"/>
    <row r="34" ht="14.15" customHeight="1" s="10"/>
    <row r="35" ht="14.15" customHeight="1" s="10"/>
    <row r="36" ht="14.15" customHeight="1" s="10"/>
    <row r="37" ht="14.15" customHeight="1" s="10"/>
    <row r="38" ht="14.15" customHeight="1" s="10"/>
    <row r="39" ht="14.15" customHeight="1" s="10"/>
    <row r="40" ht="14.15" customHeight="1" s="10"/>
    <row r="41" ht="14.15" customHeight="1" s="10"/>
    <row r="42" ht="14.15" customHeight="1" s="10"/>
    <row r="43" ht="14.15" customHeight="1" s="10"/>
    <row r="44" ht="14.15" customHeight="1" s="10"/>
    <row r="45" ht="14.15" customHeight="1" s="10"/>
    <row r="46" ht="14.15" customHeight="1" s="10"/>
    <row r="47" ht="14.15" customHeight="1" s="10"/>
    <row r="48" ht="14.15" customHeight="1" s="10"/>
    <row r="49" ht="14.15" customHeight="1" s="10"/>
    <row r="50" ht="14.15" customHeight="1" s="10"/>
    <row r="51" ht="14.15" customHeight="1" s="10"/>
    <row r="52" ht="14.15" customHeight="1" s="10"/>
    <row r="53" ht="14.15" customHeight="1" s="10"/>
    <row r="54" ht="14.15" customHeight="1" s="10"/>
    <row r="55" ht="14.15" customHeight="1" s="10"/>
    <row r="56" ht="14.15" customHeight="1" s="10"/>
    <row r="57" ht="14.15" customHeight="1" s="10"/>
    <row r="58" ht="14.15" customHeight="1" s="10"/>
    <row r="59" ht="14.15" customHeight="1" s="10"/>
    <row r="60" ht="14.15" customHeight="1" s="10"/>
    <row r="61" ht="14.15" customHeight="1" s="10"/>
    <row r="62" ht="14.15" customHeight="1" s="10"/>
    <row r="63" ht="14.15" customHeight="1" s="10"/>
    <row r="64" ht="14.15" customHeight="1" s="10"/>
    <row r="65" ht="14.15" customHeight="1" s="10"/>
    <row r="66" ht="14.15" customHeight="1" s="10"/>
    <row r="67" ht="14.15" customHeight="1" s="10"/>
    <row r="68" ht="14.15" customHeight="1" s="10"/>
    <row r="69" ht="14.15" customHeight="1" s="10"/>
    <row r="70" ht="14.15" customHeight="1" s="10"/>
    <row r="71" ht="14.15" customHeight="1" s="10"/>
    <row r="72" ht="14.15" customHeight="1" s="10"/>
    <row r="73" ht="14.15" customHeight="1" s="10"/>
    <row r="74" ht="14.15" customHeight="1" s="10"/>
    <row r="75" ht="14.15" customHeight="1" s="10"/>
    <row r="76" ht="14.15" customHeight="1" s="10"/>
    <row r="77" ht="14.15" customHeight="1" s="10"/>
    <row r="78" ht="14.15" customHeight="1" s="10"/>
    <row r="79" ht="14.15" customHeight="1" s="10"/>
    <row r="80" ht="14.15" customHeight="1" s="10"/>
    <row r="81" ht="14.15" customHeight="1" s="10"/>
    <row r="82" ht="14.15" customHeight="1" s="10"/>
    <row r="83" ht="14.15" customHeight="1" s="10"/>
    <row r="84" ht="14.15" customHeight="1" s="10"/>
    <row r="85" ht="14.15" customHeight="1" s="10"/>
    <row r="86" ht="14.15" customHeight="1" s="10"/>
    <row r="87" ht="14.15" customHeight="1" s="10"/>
    <row r="88" ht="14.15" customHeight="1" s="10"/>
    <row r="89" ht="14.15" customHeight="1" s="10"/>
    <row r="90" ht="14.15" customHeight="1" s="10"/>
    <row r="91" ht="14.15" customHeight="1" s="10"/>
    <row r="92" ht="14.15" customHeight="1" s="10"/>
    <row r="93" ht="14.15" customHeight="1" s="10"/>
    <row r="94" ht="14.15" customHeight="1" s="10"/>
    <row r="95" ht="14.15" customHeight="1" s="10"/>
    <row r="96" ht="14.15" customHeight="1" s="10"/>
    <row r="97" ht="14.15" customHeight="1" s="10"/>
    <row r="98" ht="14.15" customHeight="1" s="10"/>
    <row r="99" ht="14.15" customHeight="1" s="10"/>
    <row r="100" ht="14.15" customHeight="1" s="10"/>
    <row r="101" ht="14.15" customHeight="1" s="10"/>
    <row r="102" ht="14.15" customHeight="1" s="10"/>
    <row r="103" ht="14.15" customHeight="1" s="10"/>
    <row r="104" ht="14.15" customHeight="1" s="10"/>
    <row r="105" ht="14.15" customHeight="1" s="10"/>
    <row r="106" ht="14.15" customHeight="1" s="10"/>
    <row r="107" ht="14.15" customHeight="1" s="10"/>
    <row r="108" ht="14.15" customHeight="1" s="10"/>
    <row r="109" ht="14.15" customHeight="1" s="10"/>
    <row r="110" ht="14.15" customHeight="1" s="10"/>
    <row r="111" ht="14.15" customHeight="1" s="10"/>
    <row r="112" ht="14.15" customHeight="1" s="10"/>
    <row r="113" ht="14.15" customHeight="1" s="10"/>
    <row r="114" ht="14.15" customHeight="1" s="10"/>
    <row r="115" ht="14.15" customHeight="1" s="10"/>
    <row r="116" ht="14.15" customHeight="1" s="10"/>
    <row r="117" ht="14.15" customHeight="1" s="10"/>
    <row r="118" ht="14.15" customHeight="1" s="10"/>
    <row r="119" ht="14.15" customHeight="1" s="10"/>
    <row r="120" ht="14.15" customHeight="1" s="10"/>
    <row r="121" ht="14.15" customHeight="1" s="10"/>
    <row r="122" ht="14.15" customHeight="1" s="10"/>
    <row r="123" ht="14.15" customHeight="1" s="10"/>
    <row r="124" ht="14.15" customHeight="1" s="10"/>
    <row r="125" ht="14.15" customHeight="1" s="10"/>
    <row r="126" ht="14.15" customHeight="1" s="10"/>
    <row r="127" ht="14.15" customHeight="1" s="10"/>
    <row r="128" ht="14.15" customHeight="1" s="10"/>
    <row r="129" ht="14.15" customHeight="1" s="10"/>
    <row r="130" ht="14.15" customHeight="1" s="10"/>
    <row r="131" ht="14.15" customHeight="1" s="10"/>
    <row r="132" ht="14.15" customHeight="1" s="10"/>
    <row r="133" ht="14.15" customHeight="1" s="10"/>
    <row r="134" ht="14.15" customHeight="1" s="10"/>
    <row r="135" ht="14.15" customHeight="1" s="10"/>
    <row r="136" ht="14.15" customHeight="1" s="10"/>
    <row r="137" ht="14.15" customHeight="1" s="10"/>
    <row r="138" ht="14.15" customHeight="1" s="10"/>
    <row r="139" ht="14.15" customHeight="1" s="10"/>
    <row r="140" ht="14.15" customHeight="1" s="10"/>
    <row r="141" ht="14.15" customHeight="1" s="10"/>
    <row r="142" ht="14.15" customHeight="1" s="10"/>
    <row r="143" ht="14.15" customHeight="1" s="10"/>
    <row r="144" ht="14.15" customHeight="1" s="10"/>
    <row r="145" ht="14.15" customHeight="1" s="10"/>
    <row r="146" ht="14.15" customHeight="1" s="10"/>
    <row r="147" ht="14.15" customHeight="1" s="10"/>
    <row r="148" ht="14.15" customHeight="1" s="10"/>
    <row r="149" ht="14.15" customHeight="1" s="10"/>
    <row r="150" ht="14.15" customHeight="1" s="10"/>
    <row r="151" ht="14.15" customHeight="1" s="10"/>
    <row r="152" ht="14.15" customHeight="1" s="10"/>
    <row r="153" ht="14.15" customHeight="1" s="10"/>
    <row r="154" ht="14.15" customHeight="1" s="10"/>
    <row r="155" ht="14.15" customHeight="1" s="10"/>
    <row r="156" ht="14.15" customHeight="1" s="10"/>
    <row r="157" ht="14.15" customHeight="1" s="10"/>
    <row r="158" ht="14.15" customHeight="1" s="10"/>
    <row r="159" ht="14.15" customHeight="1" s="10"/>
    <row r="160" ht="14.15" customHeight="1" s="10"/>
    <row r="161" ht="14.15" customHeight="1" s="10"/>
    <row r="162" ht="14.15" customHeight="1" s="10"/>
    <row r="163" ht="14.15" customHeight="1" s="10"/>
    <row r="164" ht="14.15" customHeight="1" s="10"/>
    <row r="165" ht="14.15" customHeight="1" s="10"/>
    <row r="166" ht="14.15" customHeight="1" s="10"/>
    <row r="167" ht="14.15" customHeight="1" s="10"/>
    <row r="168" ht="14.15" customHeight="1" s="10"/>
    <row r="169" ht="14.15" customHeight="1" s="10"/>
    <row r="170" ht="14.15" customHeight="1" s="10"/>
    <row r="171" ht="14.15" customHeight="1" s="10"/>
    <row r="172" ht="14.15" customHeight="1" s="10"/>
    <row r="173" ht="14.15" customHeight="1" s="10"/>
    <row r="174" ht="14.15" customHeight="1" s="10"/>
    <row r="175" ht="14.15" customHeight="1" s="10"/>
    <row r="176" ht="14.15" customHeight="1" s="10"/>
    <row r="177" ht="14.15" customHeight="1" s="10"/>
    <row r="178" ht="14.15" customHeight="1" s="10"/>
    <row r="179" ht="14.15" customHeight="1" s="10"/>
    <row r="180" ht="14.15" customHeight="1" s="10"/>
    <row r="181" ht="14.15" customHeight="1" s="10"/>
    <row r="182" ht="14.15" customHeight="1" s="10"/>
    <row r="183" ht="14.15" customHeight="1" s="10"/>
    <row r="184" ht="14.15" customHeight="1" s="10"/>
    <row r="185" ht="14.15" customHeight="1" s="10"/>
    <row r="186" ht="14.15" customHeight="1" s="10"/>
    <row r="187" ht="14.15" customHeight="1" s="10"/>
    <row r="188" ht="14.15" customHeight="1" s="10"/>
    <row r="189" ht="14.15" customHeight="1" s="10"/>
    <row r="190" ht="14.15" customHeight="1" s="10"/>
    <row r="191" ht="14.15" customHeight="1" s="10"/>
    <row r="192" ht="14.15" customHeight="1" s="10"/>
    <row r="193" ht="14.15" customHeight="1" s="10"/>
    <row r="194" ht="14.15" customHeight="1" s="10"/>
    <row r="195" ht="14.15" customHeight="1" s="10"/>
    <row r="196" ht="14.15" customHeight="1" s="10"/>
    <row r="197" ht="14.15" customHeight="1" s="10"/>
    <row r="198" ht="14.15" customHeight="1" s="10"/>
    <row r="199" ht="14.15" customHeight="1" s="10"/>
    <row r="200" ht="14.15" customHeight="1" s="10"/>
    <row r="201" ht="14.15" customHeight="1" s="10"/>
    <row r="202" ht="14.15" customHeight="1" s="10"/>
    <row r="203" ht="14.15" customHeight="1" s="10"/>
    <row r="204" ht="14.15" customHeight="1" s="10"/>
    <row r="205" ht="14.15" customHeight="1" s="10"/>
    <row r="206" ht="14.15" customHeight="1" s="10"/>
    <row r="207" ht="14.15" customHeight="1" s="10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15"/>
  <cols>
    <col width="11.3046875" customWidth="1" style="10" min="1" max="1"/>
    <col width="83.3046875" customWidth="1" style="10" min="2" max="2"/>
    <col width="8" customWidth="1" style="10" min="3" max="18"/>
  </cols>
  <sheetData>
    <row r="1" ht="14.15" customHeight="1" s="10">
      <c r="A1" s="9" t="inlineStr">
        <is>
          <t>项目</t>
        </is>
      </c>
      <c r="B1" s="9" t="inlineStr">
        <is>
          <t>内容</t>
        </is>
      </c>
    </row>
    <row r="2" ht="14.15" customHeight="1" s="10">
      <c r="A2" s="4" t="inlineStr">
        <is>
          <t>说明</t>
        </is>
      </c>
      <c r="B2" s="6" t="inlineStr">
        <is>
          <t>统计口径里，`预见` 计入 `灵感`。</t>
        </is>
      </c>
    </row>
    <row r="3" ht="14.15" customHeight="1" s="10">
      <c r="A3" s="4" t="inlineStr">
        <is>
          <t>说明</t>
        </is>
      </c>
      <c r="B3" s="6" t="inlineStr">
        <is>
          <t>一张卡可以同时属于多个流派，所以下面流派统计会重复计数。</t>
        </is>
      </c>
    </row>
    <row r="4" ht="14.15" customHeight="1" s="10">
      <c r="A4" s="4" t="inlineStr">
        <is>
          <t>说明</t>
        </is>
      </c>
      <c r="B4" s="6" t="inlineStr">
        <is>
          <t>`Token` 单独记为稀有度。</t>
        </is>
      </c>
    </row>
    <row r="5" ht="14.15" customHeight="1" s="10">
      <c r="A5" s="4" t="inlineStr">
        <is>
          <t>说明</t>
        </is>
      </c>
      <c r="B5" s="6" t="inlineStr">
        <is>
          <t>原始文本里有一处粘连记录，未强行拆分，见文末备注。</t>
        </is>
      </c>
    </row>
    <row r="6" ht="14.15" customHeight="1" s="10">
      <c r="A6" s="4" t="inlineStr">
        <is>
          <t>来源文件</t>
        </is>
      </c>
      <c r="B6" s="6" t="inlineStr">
        <is>
          <t>docs\yuki-card-table.zh-CN.md</t>
        </is>
      </c>
    </row>
    <row r="7" ht="14.15" customHeight="1" s="10">
      <c r="B7" s="6" t="n"/>
    </row>
    <row r="8" ht="14.15" customHeight="1" s="10">
      <c r="A8" s="4" t="inlineStr">
        <is>
          <t>??</t>
        </is>
      </c>
      <c r="B8" s="6" t="inlineStr">
        <is>
          <t>xlsx ??????????????????????????</t>
        </is>
      </c>
    </row>
    <row r="9" ht="14.15" customHeight="1" s="10">
      <c r="A9" s="4" t="inlineStr">
        <is>
          <t>??</t>
        </is>
      </c>
      <c r="B9" s="6" t="inlineStr">
        <is>
          <t>?????? Excel Table?????????????????????</t>
        </is>
      </c>
    </row>
    <row r="10" ht="14.15" customHeight="1" s="10">
      <c r="A10" s="4" t="inlineStr">
        <is>
          <t>??</t>
        </is>
      </c>
      <c r="B10" s="6" t="inlineStr">
        <is>
          <t>???????????????????????????????</t>
        </is>
      </c>
    </row>
    <row r="11" ht="14.15" customHeight="1" s="10"/>
    <row r="12" ht="14.15" customHeight="1" s="10"/>
    <row r="13" ht="14.15" customHeight="1" s="10"/>
    <row r="14" ht="14.15" customHeight="1" s="10"/>
    <row r="15" ht="14.15" customHeight="1" s="10"/>
    <row r="16" ht="14.15" customHeight="1" s="10"/>
    <row r="17" ht="14.15" customHeight="1" s="10"/>
    <row r="18" ht="14.15" customHeight="1" s="10"/>
    <row r="19" ht="14.15" customHeight="1" s="10"/>
    <row r="20" ht="14.15" customHeight="1" s="10"/>
    <row r="21" ht="14.15" customHeight="1" s="10"/>
    <row r="22" ht="14.15" customHeight="1" s="10"/>
    <row r="23" ht="14.15" customHeight="1" s="10"/>
    <row r="24" ht="14.15" customHeight="1" s="10"/>
    <row r="25" ht="14.15" customHeight="1" s="10"/>
    <row r="26" ht="14.15" customHeight="1" s="10"/>
    <row r="27" ht="14.15" customHeight="1" s="10"/>
    <row r="28" ht="14.15" customHeight="1" s="10"/>
    <row r="29" ht="14.15" customHeight="1" s="10"/>
    <row r="30" ht="14.15" customHeight="1" s="10"/>
    <row r="31" ht="14.15" customHeight="1" s="10"/>
    <row r="32" ht="14.15" customHeight="1" s="10"/>
    <row r="33" ht="14.15" customHeight="1" s="10"/>
    <row r="34" ht="14.15" customHeight="1" s="10"/>
    <row r="35" ht="14.15" customHeight="1" s="10"/>
    <row r="36" ht="14.15" customHeight="1" s="10"/>
    <row r="37" ht="14.15" customHeight="1" s="10"/>
    <row r="38" ht="14.15" customHeight="1" s="10"/>
    <row r="39" ht="14.15" customHeight="1" s="10"/>
    <row r="40" ht="14.15" customHeight="1" s="10"/>
    <row r="41" ht="14.15" customHeight="1" s="10"/>
    <row r="42" ht="14.15" customHeight="1" s="10"/>
    <row r="43" ht="14.15" customHeight="1" s="10"/>
    <row r="44" ht="14.15" customHeight="1" s="10"/>
    <row r="45" ht="14.15" customHeight="1" s="10"/>
    <row r="46" ht="14.15" customHeight="1" s="10"/>
    <row r="47" ht="14.15" customHeight="1" s="10"/>
    <row r="48" ht="14.15" customHeight="1" s="10"/>
    <row r="49" ht="14.15" customHeight="1" s="10"/>
    <row r="50" ht="14.15" customHeight="1" s="10"/>
    <row r="51" ht="14.15" customHeight="1" s="10"/>
    <row r="52" ht="14.15" customHeight="1" s="10"/>
    <row r="53" ht="14.15" customHeight="1" s="10"/>
    <row r="54" ht="14.15" customHeight="1" s="10"/>
    <row r="55" ht="14.15" customHeight="1" s="10"/>
    <row r="56" ht="14.15" customHeight="1" s="10"/>
    <row r="57" ht="14.15" customHeight="1" s="10"/>
    <row r="58" ht="14.15" customHeight="1" s="10"/>
    <row r="59" ht="14.15" customHeight="1" s="10"/>
    <row r="60" ht="14.15" customHeight="1" s="10"/>
    <row r="61" ht="14.15" customHeight="1" s="10"/>
    <row r="62" ht="14.15" customHeight="1" s="10"/>
    <row r="63" ht="14.15" customHeight="1" s="10"/>
    <row r="64" ht="14.15" customHeight="1" s="10"/>
    <row r="65" ht="14.15" customHeight="1" s="10"/>
    <row r="66" ht="14.15" customHeight="1" s="10"/>
    <row r="67" ht="14.15" customHeight="1" s="10"/>
    <row r="68" ht="14.15" customHeight="1" s="10"/>
    <row r="69" ht="14.15" customHeight="1" s="10"/>
    <row r="70" ht="14.15" customHeight="1" s="10"/>
    <row r="71" ht="14.15" customHeight="1" s="10"/>
    <row r="72" ht="14.15" customHeight="1" s="10"/>
    <row r="73" ht="14.15" customHeight="1" s="10"/>
    <row r="74" ht="14.15" customHeight="1" s="10"/>
    <row r="75" ht="14.15" customHeight="1" s="10"/>
    <row r="76" ht="14.15" customHeight="1" s="10"/>
    <row r="77" ht="14.15" customHeight="1" s="10"/>
    <row r="78" ht="14.15" customHeight="1" s="10"/>
    <row r="79" ht="14.15" customHeight="1" s="10"/>
    <row r="80" ht="14.15" customHeight="1" s="10"/>
    <row r="81" ht="14.15" customHeight="1" s="10"/>
    <row r="82" ht="14.15" customHeight="1" s="10"/>
    <row r="83" ht="14.15" customHeight="1" s="10"/>
    <row r="84" ht="14.15" customHeight="1" s="10"/>
    <row r="85" ht="14.15" customHeight="1" s="10"/>
    <row r="86" ht="14.15" customHeight="1" s="10"/>
    <row r="87" ht="14.15" customHeight="1" s="10"/>
    <row r="88" ht="14.15" customHeight="1" s="10"/>
    <row r="89" ht="14.15" customHeight="1" s="10"/>
    <row r="90" ht="14.15" customHeight="1" s="10"/>
    <row r="91" ht="14.15" customHeight="1" s="10"/>
    <row r="92" ht="14.15" customHeight="1" s="10"/>
    <row r="93" ht="14.15" customHeight="1" s="10"/>
    <row r="94" ht="14.15" customHeight="1" s="10"/>
    <row r="95" ht="14.15" customHeight="1" s="10"/>
    <row r="96" ht="14.15" customHeight="1" s="10"/>
    <row r="97" ht="14.15" customHeight="1" s="10"/>
    <row r="98" ht="14.15" customHeight="1" s="10"/>
    <row r="99" ht="14.15" customHeight="1" s="10"/>
    <row r="100" ht="14.15" customHeight="1" s="10"/>
    <row r="101" ht="14.15" customHeight="1" s="10"/>
    <row r="102" ht="14.15" customHeight="1" s="10"/>
    <row r="103" ht="14.15" customHeight="1" s="10"/>
    <row r="104" ht="14.15" customHeight="1" s="10"/>
    <row r="105" ht="14.15" customHeight="1" s="10"/>
    <row r="106" ht="14.15" customHeight="1" s="10"/>
    <row r="107" ht="14.15" customHeight="1" s="10"/>
    <row r="108" ht="14.15" customHeight="1" s="10"/>
    <row r="109" ht="14.15" customHeight="1" s="10"/>
    <row r="110" ht="14.15" customHeight="1" s="10"/>
    <row r="111" ht="14.15" customHeight="1" s="10"/>
    <row r="112" ht="14.15" customHeight="1" s="10"/>
    <row r="113" ht="14.15" customHeight="1" s="10"/>
    <row r="114" ht="14.15" customHeight="1" s="10"/>
    <row r="115" ht="14.15" customHeight="1" s="10"/>
    <row r="116" ht="14.15" customHeight="1" s="10"/>
    <row r="117" ht="14.15" customHeight="1" s="10"/>
    <row r="118" ht="14.15" customHeight="1" s="10"/>
    <row r="119" ht="14.15" customHeight="1" s="10"/>
    <row r="120" ht="14.15" customHeight="1" s="10"/>
    <row r="121" ht="14.15" customHeight="1" s="10"/>
    <row r="122" ht="14.15" customHeight="1" s="10"/>
    <row r="123" ht="14.15" customHeight="1" s="10"/>
    <row r="124" ht="14.15" customHeight="1" s="10"/>
    <row r="125" ht="14.15" customHeight="1" s="10"/>
    <row r="126" ht="14.15" customHeight="1" s="10"/>
    <row r="127" ht="14.15" customHeight="1" s="10"/>
    <row r="128" ht="14.15" customHeight="1" s="10"/>
    <row r="129" ht="14.15" customHeight="1" s="10"/>
    <row r="130" ht="14.15" customHeight="1" s="10"/>
    <row r="131" ht="14.15" customHeight="1" s="10"/>
    <row r="132" ht="14.15" customHeight="1" s="10"/>
    <row r="133" ht="14.15" customHeight="1" s="10"/>
    <row r="134" ht="14.15" customHeight="1" s="10"/>
    <row r="135" ht="14.15" customHeight="1" s="10"/>
    <row r="136" ht="14.15" customHeight="1" s="10"/>
    <row r="137" ht="14.15" customHeight="1" s="10"/>
    <row r="138" ht="14.15" customHeight="1" s="10"/>
    <row r="139" ht="14.15" customHeight="1" s="10"/>
    <row r="140" ht="14.15" customHeight="1" s="10"/>
    <row r="141" ht="14.15" customHeight="1" s="10"/>
    <row r="142" ht="14.15" customHeight="1" s="10"/>
    <row r="143" ht="14.15" customHeight="1" s="10"/>
    <row r="144" ht="14.15" customHeight="1" s="10"/>
    <row r="145" ht="14.15" customHeight="1" s="10"/>
    <row r="146" ht="14.15" customHeight="1" s="10"/>
    <row r="147" ht="14.15" customHeight="1" s="10"/>
    <row r="148" ht="14.15" customHeight="1" s="10"/>
    <row r="149" ht="14.15" customHeight="1" s="10"/>
    <row r="150" ht="14.15" customHeight="1" s="10"/>
    <row r="151" ht="14.15" customHeight="1" s="10"/>
    <row r="152" ht="14.15" customHeight="1" s="10"/>
    <row r="153" ht="14.15" customHeight="1" s="10"/>
    <row r="154" ht="14.15" customHeight="1" s="10"/>
    <row r="155" ht="14.15" customHeight="1" s="10"/>
    <row r="156" ht="14.15" customHeight="1" s="10"/>
    <row r="157" ht="14.15" customHeight="1" s="10"/>
    <row r="158" ht="14.15" customHeight="1" s="10"/>
    <row r="159" ht="14.15" customHeight="1" s="10"/>
    <row r="160" ht="14.15" customHeight="1" s="10"/>
    <row r="161" ht="14.15" customHeight="1" s="10"/>
    <row r="162" ht="14.15" customHeight="1" s="10"/>
    <row r="163" ht="14.15" customHeight="1" s="10"/>
    <row r="164" ht="14.15" customHeight="1" s="10"/>
    <row r="165" ht="14.15" customHeight="1" s="10"/>
    <row r="166" ht="14.15" customHeight="1" s="10"/>
    <row r="167" ht="14.15" customHeight="1" s="10"/>
    <row r="168" ht="14.15" customHeight="1" s="10"/>
    <row r="169" ht="14.15" customHeight="1" s="10"/>
    <row r="170" ht="14.15" customHeight="1" s="10"/>
    <row r="171" ht="14.15" customHeight="1" s="10"/>
    <row r="172" ht="14.15" customHeight="1" s="10"/>
    <row r="173" ht="14.15" customHeight="1" s="10"/>
    <row r="174" ht="14.15" customHeight="1" s="10"/>
    <row r="175" ht="14.15" customHeight="1" s="10"/>
    <row r="176" ht="14.15" customHeight="1" s="10"/>
    <row r="177" ht="14.15" customHeight="1" s="10"/>
    <row r="178" ht="14.15" customHeight="1" s="10"/>
    <row r="179" ht="14.15" customHeight="1" s="10"/>
    <row r="180" ht="14.15" customHeight="1" s="10"/>
    <row r="181" ht="14.15" customHeight="1" s="10"/>
    <row r="182" ht="14.15" customHeight="1" s="10"/>
    <row r="183" ht="14.15" customHeight="1" s="10"/>
    <row r="184" ht="14.15" customHeight="1" s="10"/>
    <row r="185" ht="14.15" customHeight="1" s="10"/>
    <row r="186" ht="14.15" customHeight="1" s="10"/>
    <row r="187" ht="14.15" customHeight="1" s="10"/>
    <row r="188" ht="14.15" customHeight="1" s="10"/>
    <row r="189" ht="14.15" customHeight="1" s="10"/>
    <row r="190" ht="14.15" customHeight="1" s="10"/>
    <row r="191" ht="14.15" customHeight="1" s="10"/>
    <row r="192" ht="14.15" customHeight="1" s="10"/>
    <row r="193" ht="14.15" customHeight="1" s="10"/>
    <row r="194" ht="14.15" customHeight="1" s="10"/>
    <row r="195" ht="14.15" customHeight="1" s="10"/>
    <row r="196" ht="14.15" customHeight="1" s="10"/>
    <row r="197" ht="14.15" customHeight="1" s="10"/>
    <row r="198" ht="14.15" customHeight="1" s="10"/>
    <row r="199" ht="14.15" customHeight="1" s="10"/>
    <row r="200" ht="14.15" customHeight="1" s="10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4.15"/>
  <cols>
    <col width="8" customWidth="1" style="10" min="1" max="18"/>
  </cols>
  <sheetData>
    <row r="1" ht="14.15" customHeight="1" s="10">
      <c r="A1" s="4" t="inlineStr">
        <is>
          <t>稀有度</t>
        </is>
      </c>
      <c r="B1" s="4" t="inlineStr">
        <is>
          <t>种类</t>
        </is>
      </c>
      <c r="C1" s="4" t="inlineStr">
        <is>
          <t>流派</t>
        </is>
      </c>
    </row>
    <row r="2" ht="14.15" customHeight="1" s="10">
      <c r="A2" s="4" t="inlineStr">
        <is>
          <t>初始</t>
        </is>
      </c>
      <c r="B2" s="4" t="inlineStr">
        <is>
          <t>攻击</t>
        </is>
      </c>
      <c r="C2" s="4" t="inlineStr">
        <is>
          <t>灵感</t>
        </is>
      </c>
    </row>
    <row r="3" ht="14.15" customHeight="1" s="10">
      <c r="A3" s="4" t="inlineStr">
        <is>
          <t>通常</t>
        </is>
      </c>
      <c r="B3" s="4" t="inlineStr">
        <is>
          <t>技能</t>
        </is>
      </c>
      <c r="C3" s="4" t="inlineStr">
        <is>
          <t>月影</t>
        </is>
      </c>
    </row>
    <row r="4" ht="14.15" customHeight="1" s="10">
      <c r="A4" s="4" t="inlineStr">
        <is>
          <t>罕见</t>
        </is>
      </c>
      <c r="B4" s="4" t="inlineStr">
        <is>
          <t>能力</t>
        </is>
      </c>
      <c r="C4" s="4" t="inlineStr">
        <is>
          <t>黑云</t>
        </is>
      </c>
    </row>
    <row r="5" ht="14.15" customHeight="1" s="10">
      <c r="A5" s="4" t="inlineStr">
        <is>
          <t>稀有</t>
        </is>
      </c>
      <c r="C5" s="4" t="inlineStr">
        <is>
          <t>其他</t>
        </is>
      </c>
    </row>
    <row r="6" ht="14.15" customHeight="1" s="10">
      <c r="A6" s="4" t="inlineStr">
        <is>
          <t>Token</t>
        </is>
      </c>
    </row>
    <row r="7" ht="14.15" customHeight="1" s="10">
      <c r="A7" s="4" t="inlineStr">
        <is>
          <t>先古</t>
        </is>
      </c>
    </row>
    <row r="8" ht="14.15" customHeight="1" s="10">
      <c r="A8" s="4" t="inlineStr">
        <is>
          <t>未注明</t>
        </is>
      </c>
    </row>
    <row r="9" ht="14.15" customHeight="1" s="10"/>
    <row r="10" ht="14.15" customHeight="1" s="10"/>
    <row r="11" ht="14.15" customHeight="1" s="10"/>
    <row r="12" ht="14.15" customHeight="1" s="10"/>
    <row r="13" ht="14.15" customHeight="1" s="10"/>
    <row r="14" ht="14.15" customHeight="1" s="10"/>
    <row r="15" ht="14.15" customHeight="1" s="10"/>
    <row r="16" ht="14.15" customHeight="1" s="10"/>
    <row r="17" ht="14.15" customHeight="1" s="10"/>
    <row r="18" ht="14.15" customHeight="1" s="10"/>
    <row r="19" ht="14.15" customHeight="1" s="10"/>
    <row r="20" ht="14.15" customHeight="1" s="10"/>
    <row r="21" ht="14.15" customHeight="1" s="10"/>
    <row r="22" ht="14.15" customHeight="1" s="10"/>
    <row r="23" ht="14.15" customHeight="1" s="10"/>
    <row r="24" ht="14.15" customHeight="1" s="10"/>
    <row r="25" ht="14.15" customHeight="1" s="10"/>
    <row r="26" ht="14.15" customHeight="1" s="10"/>
    <row r="27" ht="14.15" customHeight="1" s="10"/>
    <row r="28" ht="14.15" customHeight="1" s="10"/>
    <row r="29" ht="14.15" customHeight="1" s="10"/>
    <row r="30" ht="14.15" customHeight="1" s="10"/>
    <row r="31" ht="14.15" customHeight="1" s="10"/>
    <row r="32" ht="14.15" customHeight="1" s="10"/>
    <row r="33" ht="14.15" customHeight="1" s="10"/>
    <row r="34" ht="14.15" customHeight="1" s="10"/>
    <row r="35" ht="14.15" customHeight="1" s="10"/>
    <row r="36" ht="14.15" customHeight="1" s="10"/>
    <row r="37" ht="14.15" customHeight="1" s="10"/>
    <row r="38" ht="14.15" customHeight="1" s="10"/>
    <row r="39" ht="14.15" customHeight="1" s="10"/>
    <row r="40" ht="14.15" customHeight="1" s="10"/>
    <row r="41" ht="14.15" customHeight="1" s="10"/>
    <row r="42" ht="14.15" customHeight="1" s="10"/>
    <row r="43" ht="14.15" customHeight="1" s="10"/>
    <row r="44" ht="14.15" customHeight="1" s="10"/>
    <row r="45" ht="14.15" customHeight="1" s="10"/>
    <row r="46" ht="14.15" customHeight="1" s="10"/>
    <row r="47" ht="14.15" customHeight="1" s="10"/>
    <row r="48" ht="14.15" customHeight="1" s="10"/>
    <row r="49" ht="14.15" customHeight="1" s="10"/>
    <row r="50" ht="14.15" customHeight="1" s="10"/>
    <row r="51" ht="14.15" customHeight="1" s="10"/>
    <row r="52" ht="14.15" customHeight="1" s="10"/>
    <row r="53" ht="14.15" customHeight="1" s="10"/>
    <row r="54" ht="14.15" customHeight="1" s="10"/>
    <row r="55" ht="14.15" customHeight="1" s="10"/>
    <row r="56" ht="14.15" customHeight="1" s="10"/>
    <row r="57" ht="14.15" customHeight="1" s="10"/>
    <row r="58" ht="14.15" customHeight="1" s="10"/>
    <row r="59" ht="14.15" customHeight="1" s="10"/>
    <row r="60" ht="14.15" customHeight="1" s="10"/>
    <row r="61" ht="14.15" customHeight="1" s="10"/>
    <row r="62" ht="14.15" customHeight="1" s="10"/>
    <row r="63" ht="14.15" customHeight="1" s="10"/>
    <row r="64" ht="14.15" customHeight="1" s="10"/>
    <row r="65" ht="14.15" customHeight="1" s="10"/>
    <row r="66" ht="14.15" customHeight="1" s="10"/>
    <row r="67" ht="14.15" customHeight="1" s="10"/>
    <row r="68" ht="14.15" customHeight="1" s="10"/>
    <row r="69" ht="14.15" customHeight="1" s="10"/>
    <row r="70" ht="14.15" customHeight="1" s="10"/>
    <row r="71" ht="14.15" customHeight="1" s="10"/>
    <row r="72" ht="14.15" customHeight="1" s="10"/>
    <row r="73" ht="14.15" customHeight="1" s="10"/>
    <row r="74" ht="14.15" customHeight="1" s="10"/>
    <row r="75" ht="14.15" customHeight="1" s="10"/>
    <row r="76" ht="14.15" customHeight="1" s="10"/>
    <row r="77" ht="14.15" customHeight="1" s="10"/>
    <row r="78" ht="14.15" customHeight="1" s="10"/>
    <row r="79" ht="14.15" customHeight="1" s="10"/>
    <row r="80" ht="14.15" customHeight="1" s="10"/>
    <row r="81" ht="14.15" customHeight="1" s="10"/>
    <row r="82" ht="14.15" customHeight="1" s="10"/>
    <row r="83" ht="14.15" customHeight="1" s="10"/>
    <row r="84" ht="14.15" customHeight="1" s="10"/>
    <row r="85" ht="14.15" customHeight="1" s="10"/>
    <row r="86" ht="14.15" customHeight="1" s="10"/>
    <row r="87" ht="14.15" customHeight="1" s="10"/>
    <row r="88" ht="14.15" customHeight="1" s="10"/>
    <row r="89" ht="14.15" customHeight="1" s="10"/>
    <row r="90" ht="14.15" customHeight="1" s="10"/>
    <row r="91" ht="14.15" customHeight="1" s="10"/>
    <row r="92" ht="14.15" customHeight="1" s="10"/>
    <row r="93" ht="14.15" customHeight="1" s="10"/>
    <row r="94" ht="14.15" customHeight="1" s="10"/>
    <row r="95" ht="14.15" customHeight="1" s="10"/>
    <row r="96" ht="14.15" customHeight="1" s="10"/>
    <row r="97" ht="14.15" customHeight="1" s="10"/>
    <row r="98" ht="14.15" customHeight="1" s="10"/>
    <row r="99" ht="14.15" customHeight="1" s="10"/>
    <row r="100" ht="14.15" customHeight="1" s="10"/>
    <row r="101" ht="14.15" customHeight="1" s="10"/>
    <row r="102" ht="14.15" customHeight="1" s="10"/>
    <row r="103" ht="14.15" customHeight="1" s="10"/>
    <row r="104" ht="14.15" customHeight="1" s="10"/>
    <row r="105" ht="14.15" customHeight="1" s="10"/>
    <row r="106" ht="14.15" customHeight="1" s="10"/>
    <row r="107" ht="14.15" customHeight="1" s="10"/>
    <row r="108" ht="14.15" customHeight="1" s="10"/>
    <row r="109" ht="14.15" customHeight="1" s="10"/>
    <row r="110" ht="14.15" customHeight="1" s="10"/>
    <row r="111" ht="14.15" customHeight="1" s="10"/>
    <row r="112" ht="14.15" customHeight="1" s="10"/>
    <row r="113" ht="14.15" customHeight="1" s="10"/>
    <row r="114" ht="14.15" customHeight="1" s="10"/>
    <row r="115" ht="14.15" customHeight="1" s="10"/>
    <row r="116" ht="14.15" customHeight="1" s="10"/>
    <row r="117" ht="14.15" customHeight="1" s="10"/>
    <row r="118" ht="14.15" customHeight="1" s="10"/>
    <row r="119" ht="14.15" customHeight="1" s="10"/>
    <row r="120" ht="14.15" customHeight="1" s="10"/>
    <row r="121" ht="14.15" customHeight="1" s="10"/>
    <row r="122" ht="14.15" customHeight="1" s="10"/>
    <row r="123" ht="14.15" customHeight="1" s="10"/>
    <row r="124" ht="14.15" customHeight="1" s="10"/>
    <row r="125" ht="14.15" customHeight="1" s="10"/>
    <row r="126" ht="14.15" customHeight="1" s="10"/>
    <row r="127" ht="14.15" customHeight="1" s="10"/>
    <row r="128" ht="14.15" customHeight="1" s="10"/>
    <row r="129" ht="14.15" customHeight="1" s="10"/>
    <row r="130" ht="14.15" customHeight="1" s="10"/>
    <row r="131" ht="14.15" customHeight="1" s="10"/>
    <row r="132" ht="14.15" customHeight="1" s="10"/>
    <row r="133" ht="14.15" customHeight="1" s="10"/>
    <row r="134" ht="14.15" customHeight="1" s="10"/>
    <row r="135" ht="14.15" customHeight="1" s="10"/>
    <row r="136" ht="14.15" customHeight="1" s="10"/>
    <row r="137" ht="14.15" customHeight="1" s="10"/>
    <row r="138" ht="14.15" customHeight="1" s="10"/>
    <row r="139" ht="14.15" customHeight="1" s="10"/>
    <row r="140" ht="14.15" customHeight="1" s="10"/>
    <row r="141" ht="14.15" customHeight="1" s="10"/>
    <row r="142" ht="14.15" customHeight="1" s="10"/>
    <row r="143" ht="14.15" customHeight="1" s="10"/>
    <row r="144" ht="14.15" customHeight="1" s="10"/>
    <row r="145" ht="14.15" customHeight="1" s="10"/>
    <row r="146" ht="14.15" customHeight="1" s="10"/>
    <row r="147" ht="14.15" customHeight="1" s="10"/>
    <row r="148" ht="14.15" customHeight="1" s="10"/>
    <row r="149" ht="14.15" customHeight="1" s="10"/>
    <row r="150" ht="14.15" customHeight="1" s="10"/>
    <row r="151" ht="14.15" customHeight="1" s="10"/>
    <row r="152" ht="14.15" customHeight="1" s="10"/>
    <row r="153" ht="14.15" customHeight="1" s="10"/>
    <row r="154" ht="14.15" customHeight="1" s="10"/>
    <row r="155" ht="14.15" customHeight="1" s="10"/>
    <row r="156" ht="14.15" customHeight="1" s="10"/>
    <row r="157" ht="14.15" customHeight="1" s="10"/>
    <row r="158" ht="14.15" customHeight="1" s="10"/>
    <row r="159" ht="14.15" customHeight="1" s="10"/>
    <row r="160" ht="14.15" customHeight="1" s="10"/>
    <row r="161" ht="14.15" customHeight="1" s="10"/>
    <row r="162" ht="14.15" customHeight="1" s="10"/>
    <row r="163" ht="14.15" customHeight="1" s="10"/>
    <row r="164" ht="14.15" customHeight="1" s="10"/>
    <row r="165" ht="14.15" customHeight="1" s="10"/>
    <row r="166" ht="14.15" customHeight="1" s="10"/>
    <row r="167" ht="14.15" customHeight="1" s="10"/>
    <row r="168" ht="14.15" customHeight="1" s="10"/>
    <row r="169" ht="14.15" customHeight="1" s="10"/>
    <row r="170" ht="14.15" customHeight="1" s="10"/>
    <row r="171" ht="14.15" customHeight="1" s="10"/>
    <row r="172" ht="14.15" customHeight="1" s="10"/>
    <row r="173" ht="14.15" customHeight="1" s="10"/>
    <row r="174" ht="14.15" customHeight="1" s="10"/>
    <row r="175" ht="14.15" customHeight="1" s="10"/>
    <row r="176" ht="14.15" customHeight="1" s="10"/>
    <row r="177" ht="14.15" customHeight="1" s="10"/>
    <row r="178" ht="14.15" customHeight="1" s="10"/>
    <row r="179" ht="14.15" customHeight="1" s="10"/>
    <row r="180" ht="14.15" customHeight="1" s="10"/>
    <row r="181" ht="14.15" customHeight="1" s="10"/>
    <row r="182" ht="14.15" customHeight="1" s="10"/>
    <row r="183" ht="14.15" customHeight="1" s="10"/>
    <row r="184" ht="14.15" customHeight="1" s="10"/>
    <row r="185" ht="14.15" customHeight="1" s="10"/>
    <row r="186" ht="14.15" customHeight="1" s="10"/>
    <row r="187" ht="14.15" customHeight="1" s="10"/>
    <row r="188" ht="14.15" customHeight="1" s="10"/>
    <row r="189" ht="14.15" customHeight="1" s="10"/>
    <row r="190" ht="14.15" customHeight="1" s="10"/>
    <row r="191" ht="14.15" customHeight="1" s="10"/>
    <row r="192" ht="14.15" customHeight="1" s="10"/>
    <row r="193" ht="14.15" customHeight="1" s="10"/>
    <row r="194" ht="14.15" customHeight="1" s="10"/>
    <row r="195" ht="14.15" customHeight="1" s="10"/>
    <row r="196" ht="14.15" customHeight="1" s="10"/>
    <row r="197" ht="14.15" customHeight="1" s="10"/>
    <row r="198" ht="14.15" customHeight="1" s="10"/>
    <row r="199" ht="14.15" customHeight="1" s="10"/>
    <row r="200" ht="14.15" customHeight="1" s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2026-04-28T04:26:24Z</dcterms:created>
  <dcterms:modified xmlns:dcterms="http://purl.org/dc/terms/" xmlns:xsi="http://www.w3.org/2001/XMLSchema-instance" xsi:type="dcterms:W3CDTF">2026-05-04T16:45:16Z</dcterms:modified>
  <cp:lastModifiedBy>ZIHE GAO</cp:lastModifiedBy>
</cp:coreProperties>
</file>